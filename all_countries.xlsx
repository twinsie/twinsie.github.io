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qluo\Downloads\"/>
    </mc:Choice>
  </mc:AlternateContent>
  <xr:revisionPtr revIDLastSave="0" documentId="13_ncr:9_{2539C280-B653-4B1B-AD68-9D3A2B9AC1CD}" xr6:coauthVersionLast="47" xr6:coauthVersionMax="47" xr10:uidLastSave="{00000000-0000-0000-0000-000000000000}"/>
  <bookViews>
    <workbookView xWindow="6300" yWindow="4365" windowWidth="21915" windowHeight="12915" tabRatio="219" xr2:uid="{1FFC44B9-9BD2-4ACF-9273-3811ADFF3773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" i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" i="1"/>
  <c r="H3" i="1"/>
  <c r="J3" i="1"/>
  <c r="L3" i="1"/>
  <c r="H4" i="1"/>
  <c r="J4" i="1"/>
  <c r="L4" i="1"/>
  <c r="H5" i="1"/>
  <c r="J5" i="1"/>
  <c r="L5" i="1"/>
  <c r="H6" i="1"/>
  <c r="J6" i="1"/>
  <c r="L6" i="1"/>
  <c r="H7" i="1"/>
  <c r="J7" i="1"/>
  <c r="L7" i="1"/>
  <c r="H8" i="1"/>
  <c r="J8" i="1"/>
  <c r="L8" i="1"/>
  <c r="H9" i="1"/>
  <c r="J9" i="1"/>
  <c r="L9" i="1"/>
  <c r="H10" i="1"/>
  <c r="J10" i="1"/>
  <c r="L10" i="1"/>
  <c r="H11" i="1"/>
  <c r="J11" i="1"/>
  <c r="L11" i="1"/>
  <c r="H12" i="1"/>
  <c r="J12" i="1"/>
  <c r="L12" i="1"/>
  <c r="H13" i="1"/>
  <c r="J13" i="1"/>
  <c r="L13" i="1"/>
  <c r="H14" i="1"/>
  <c r="J14" i="1"/>
  <c r="L14" i="1"/>
  <c r="H15" i="1"/>
  <c r="J15" i="1"/>
  <c r="L15" i="1"/>
  <c r="H16" i="1"/>
  <c r="J16" i="1"/>
  <c r="L16" i="1"/>
  <c r="H17" i="1"/>
  <c r="J17" i="1"/>
  <c r="L17" i="1"/>
  <c r="H18" i="1"/>
  <c r="J18" i="1"/>
  <c r="L18" i="1"/>
  <c r="H19" i="1"/>
  <c r="J19" i="1"/>
  <c r="L19" i="1"/>
  <c r="H20" i="1"/>
  <c r="J20" i="1"/>
  <c r="L20" i="1"/>
  <c r="H21" i="1"/>
  <c r="J21" i="1"/>
  <c r="L21" i="1"/>
  <c r="H22" i="1"/>
  <c r="J22" i="1"/>
  <c r="L22" i="1"/>
  <c r="H23" i="1"/>
  <c r="J23" i="1"/>
  <c r="L23" i="1"/>
  <c r="H24" i="1"/>
  <c r="J24" i="1"/>
  <c r="L24" i="1"/>
  <c r="H25" i="1"/>
  <c r="J25" i="1"/>
  <c r="L25" i="1"/>
  <c r="H26" i="1"/>
  <c r="J26" i="1"/>
  <c r="L26" i="1"/>
  <c r="H27" i="1"/>
  <c r="J27" i="1"/>
  <c r="L27" i="1"/>
  <c r="H28" i="1"/>
  <c r="J28" i="1"/>
  <c r="L28" i="1"/>
  <c r="H29" i="1"/>
  <c r="J29" i="1"/>
  <c r="L29" i="1"/>
  <c r="H30" i="1"/>
  <c r="J30" i="1"/>
  <c r="L30" i="1"/>
  <c r="H31" i="1"/>
  <c r="J31" i="1"/>
  <c r="L31" i="1"/>
  <c r="H32" i="1"/>
  <c r="J32" i="1"/>
  <c r="L32" i="1"/>
  <c r="H33" i="1"/>
  <c r="J33" i="1"/>
  <c r="L33" i="1"/>
  <c r="H34" i="1"/>
  <c r="J34" i="1"/>
  <c r="L34" i="1"/>
  <c r="H35" i="1"/>
  <c r="J35" i="1"/>
  <c r="L35" i="1"/>
  <c r="H36" i="1"/>
  <c r="J36" i="1"/>
  <c r="L36" i="1"/>
  <c r="P36" i="1" s="1"/>
  <c r="H37" i="1"/>
  <c r="J37" i="1"/>
  <c r="L37" i="1"/>
  <c r="H38" i="1"/>
  <c r="J38" i="1"/>
  <c r="L38" i="1"/>
  <c r="H39" i="1"/>
  <c r="J39" i="1"/>
  <c r="L39" i="1"/>
  <c r="H40" i="1"/>
  <c r="J40" i="1"/>
  <c r="L40" i="1"/>
  <c r="H41" i="1"/>
  <c r="J41" i="1"/>
  <c r="L41" i="1"/>
  <c r="H42" i="1"/>
  <c r="J42" i="1"/>
  <c r="L42" i="1"/>
  <c r="H43" i="1"/>
  <c r="J43" i="1"/>
  <c r="L43" i="1"/>
  <c r="H44" i="1"/>
  <c r="J44" i="1"/>
  <c r="L44" i="1"/>
  <c r="H45" i="1"/>
  <c r="J45" i="1"/>
  <c r="L45" i="1"/>
  <c r="H46" i="1"/>
  <c r="J46" i="1"/>
  <c r="L46" i="1"/>
  <c r="H47" i="1"/>
  <c r="J47" i="1"/>
  <c r="L47" i="1"/>
  <c r="H48" i="1"/>
  <c r="J48" i="1"/>
  <c r="L48" i="1"/>
  <c r="H49" i="1"/>
  <c r="J49" i="1"/>
  <c r="L49" i="1"/>
  <c r="H50" i="1"/>
  <c r="J50" i="1"/>
  <c r="L50" i="1"/>
  <c r="H51" i="1"/>
  <c r="J51" i="1"/>
  <c r="L51" i="1"/>
  <c r="H52" i="1"/>
  <c r="J52" i="1"/>
  <c r="L52" i="1"/>
  <c r="H53" i="1"/>
  <c r="J53" i="1"/>
  <c r="L53" i="1"/>
  <c r="H54" i="1"/>
  <c r="J54" i="1"/>
  <c r="L54" i="1"/>
  <c r="H55" i="1"/>
  <c r="J55" i="1"/>
  <c r="L55" i="1"/>
  <c r="H56" i="1"/>
  <c r="J56" i="1"/>
  <c r="L56" i="1"/>
  <c r="H57" i="1"/>
  <c r="J57" i="1"/>
  <c r="L57" i="1"/>
  <c r="H58" i="1"/>
  <c r="J58" i="1"/>
  <c r="L58" i="1"/>
  <c r="H59" i="1"/>
  <c r="J59" i="1"/>
  <c r="L59" i="1"/>
  <c r="H60" i="1"/>
  <c r="J60" i="1"/>
  <c r="L60" i="1"/>
  <c r="H61" i="1"/>
  <c r="J61" i="1"/>
  <c r="L61" i="1"/>
  <c r="H62" i="1"/>
  <c r="J62" i="1"/>
  <c r="L62" i="1"/>
  <c r="H63" i="1"/>
  <c r="J63" i="1"/>
  <c r="L63" i="1"/>
  <c r="H64" i="1"/>
  <c r="J64" i="1"/>
  <c r="L64" i="1"/>
  <c r="H65" i="1"/>
  <c r="J65" i="1"/>
  <c r="L65" i="1"/>
  <c r="H66" i="1"/>
  <c r="J66" i="1"/>
  <c r="L66" i="1"/>
  <c r="H67" i="1"/>
  <c r="J67" i="1"/>
  <c r="L67" i="1"/>
  <c r="H68" i="1"/>
  <c r="J68" i="1"/>
  <c r="L68" i="1"/>
  <c r="H69" i="1"/>
  <c r="J69" i="1"/>
  <c r="L69" i="1"/>
  <c r="H70" i="1"/>
  <c r="J70" i="1"/>
  <c r="L70" i="1"/>
  <c r="H71" i="1"/>
  <c r="J71" i="1"/>
  <c r="L71" i="1"/>
  <c r="H72" i="1"/>
  <c r="J72" i="1"/>
  <c r="L72" i="1"/>
  <c r="H73" i="1"/>
  <c r="J73" i="1"/>
  <c r="L73" i="1"/>
  <c r="H74" i="1"/>
  <c r="J74" i="1"/>
  <c r="L74" i="1"/>
  <c r="H75" i="1"/>
  <c r="J75" i="1"/>
  <c r="L75" i="1"/>
  <c r="H76" i="1"/>
  <c r="J76" i="1"/>
  <c r="L76" i="1"/>
  <c r="H77" i="1"/>
  <c r="J77" i="1"/>
  <c r="L77" i="1"/>
  <c r="H78" i="1"/>
  <c r="J78" i="1"/>
  <c r="L78" i="1"/>
  <c r="H79" i="1"/>
  <c r="J79" i="1"/>
  <c r="L79" i="1"/>
  <c r="H80" i="1"/>
  <c r="J80" i="1"/>
  <c r="L80" i="1"/>
  <c r="H81" i="1"/>
  <c r="J81" i="1"/>
  <c r="L81" i="1"/>
  <c r="H82" i="1"/>
  <c r="J82" i="1"/>
  <c r="L82" i="1"/>
  <c r="H83" i="1"/>
  <c r="J83" i="1"/>
  <c r="L83" i="1"/>
  <c r="H84" i="1"/>
  <c r="J84" i="1"/>
  <c r="L84" i="1"/>
  <c r="H85" i="1"/>
  <c r="J85" i="1"/>
  <c r="L85" i="1"/>
  <c r="H86" i="1"/>
  <c r="J86" i="1"/>
  <c r="L86" i="1"/>
  <c r="H87" i="1"/>
  <c r="J87" i="1"/>
  <c r="L87" i="1"/>
  <c r="H88" i="1"/>
  <c r="J88" i="1"/>
  <c r="L88" i="1"/>
  <c r="H89" i="1"/>
  <c r="J89" i="1"/>
  <c r="L89" i="1"/>
  <c r="H90" i="1"/>
  <c r="J90" i="1"/>
  <c r="L90" i="1"/>
  <c r="H91" i="1"/>
  <c r="J91" i="1"/>
  <c r="L91" i="1"/>
  <c r="H92" i="1"/>
  <c r="J92" i="1"/>
  <c r="L92" i="1"/>
  <c r="H93" i="1"/>
  <c r="J93" i="1"/>
  <c r="L93" i="1"/>
  <c r="H94" i="1"/>
  <c r="J94" i="1"/>
  <c r="L94" i="1"/>
  <c r="H95" i="1"/>
  <c r="J95" i="1"/>
  <c r="L95" i="1"/>
  <c r="H96" i="1"/>
  <c r="J96" i="1"/>
  <c r="L96" i="1"/>
  <c r="H97" i="1"/>
  <c r="J97" i="1"/>
  <c r="L97" i="1"/>
  <c r="H98" i="1"/>
  <c r="J98" i="1"/>
  <c r="L98" i="1"/>
  <c r="H99" i="1"/>
  <c r="J99" i="1"/>
  <c r="L99" i="1"/>
  <c r="H100" i="1"/>
  <c r="J100" i="1"/>
  <c r="L100" i="1"/>
  <c r="H101" i="1"/>
  <c r="J101" i="1"/>
  <c r="L101" i="1"/>
  <c r="H102" i="1"/>
  <c r="J102" i="1"/>
  <c r="L102" i="1"/>
  <c r="H103" i="1"/>
  <c r="J103" i="1"/>
  <c r="L103" i="1"/>
  <c r="H104" i="1"/>
  <c r="J104" i="1"/>
  <c r="L104" i="1"/>
  <c r="H105" i="1"/>
  <c r="J105" i="1"/>
  <c r="L105" i="1"/>
  <c r="H106" i="1"/>
  <c r="J106" i="1"/>
  <c r="L106" i="1"/>
  <c r="H107" i="1"/>
  <c r="J107" i="1"/>
  <c r="L107" i="1"/>
  <c r="H108" i="1"/>
  <c r="J108" i="1"/>
  <c r="L108" i="1"/>
  <c r="H109" i="1"/>
  <c r="J109" i="1"/>
  <c r="L109" i="1"/>
  <c r="H110" i="1"/>
  <c r="J110" i="1"/>
  <c r="L110" i="1"/>
  <c r="H111" i="1"/>
  <c r="J111" i="1"/>
  <c r="L111" i="1"/>
  <c r="H112" i="1"/>
  <c r="J112" i="1"/>
  <c r="L112" i="1"/>
  <c r="H113" i="1"/>
  <c r="J113" i="1"/>
  <c r="L113" i="1"/>
  <c r="H114" i="1"/>
  <c r="J114" i="1"/>
  <c r="L114" i="1"/>
  <c r="H115" i="1"/>
  <c r="J115" i="1"/>
  <c r="L115" i="1"/>
  <c r="H116" i="1"/>
  <c r="J116" i="1"/>
  <c r="L116" i="1"/>
  <c r="H117" i="1"/>
  <c r="J117" i="1"/>
  <c r="L117" i="1"/>
  <c r="H118" i="1"/>
  <c r="J118" i="1"/>
  <c r="L118" i="1"/>
  <c r="H119" i="1"/>
  <c r="J119" i="1"/>
  <c r="L119" i="1"/>
  <c r="H120" i="1"/>
  <c r="J120" i="1"/>
  <c r="L120" i="1"/>
  <c r="H121" i="1"/>
  <c r="J121" i="1"/>
  <c r="L121" i="1"/>
  <c r="H122" i="1"/>
  <c r="J122" i="1"/>
  <c r="L122" i="1"/>
  <c r="H123" i="1"/>
  <c r="J123" i="1"/>
  <c r="L123" i="1"/>
  <c r="H124" i="1"/>
  <c r="J124" i="1"/>
  <c r="L124" i="1"/>
  <c r="H125" i="1"/>
  <c r="J125" i="1"/>
  <c r="L125" i="1"/>
  <c r="H126" i="1"/>
  <c r="J126" i="1"/>
  <c r="L126" i="1"/>
  <c r="H127" i="1"/>
  <c r="J127" i="1"/>
  <c r="L127" i="1"/>
  <c r="H128" i="1"/>
  <c r="J128" i="1"/>
  <c r="L128" i="1"/>
  <c r="H129" i="1"/>
  <c r="J129" i="1"/>
  <c r="L129" i="1"/>
  <c r="H130" i="1"/>
  <c r="J130" i="1"/>
  <c r="L130" i="1"/>
  <c r="H131" i="1"/>
  <c r="J131" i="1"/>
  <c r="L131" i="1"/>
  <c r="H132" i="1"/>
  <c r="J132" i="1"/>
  <c r="L132" i="1"/>
  <c r="H133" i="1"/>
  <c r="J133" i="1"/>
  <c r="L133" i="1"/>
  <c r="H134" i="1"/>
  <c r="J134" i="1"/>
  <c r="L134" i="1"/>
  <c r="H135" i="1"/>
  <c r="J135" i="1"/>
  <c r="L135" i="1"/>
  <c r="H136" i="1"/>
  <c r="J136" i="1"/>
  <c r="L136" i="1"/>
  <c r="H137" i="1"/>
  <c r="J137" i="1"/>
  <c r="L137" i="1"/>
  <c r="H138" i="1"/>
  <c r="J138" i="1"/>
  <c r="L138" i="1"/>
  <c r="H139" i="1"/>
  <c r="J139" i="1"/>
  <c r="L139" i="1"/>
  <c r="H140" i="1"/>
  <c r="J140" i="1"/>
  <c r="L140" i="1"/>
  <c r="H141" i="1"/>
  <c r="J141" i="1"/>
  <c r="L141" i="1"/>
  <c r="H142" i="1"/>
  <c r="J142" i="1"/>
  <c r="L142" i="1"/>
  <c r="H143" i="1"/>
  <c r="J143" i="1"/>
  <c r="L143" i="1"/>
  <c r="H144" i="1"/>
  <c r="J144" i="1"/>
  <c r="L144" i="1"/>
  <c r="H145" i="1"/>
  <c r="J145" i="1"/>
  <c r="L145" i="1"/>
  <c r="H146" i="1"/>
  <c r="J146" i="1"/>
  <c r="L146" i="1"/>
  <c r="H147" i="1"/>
  <c r="J147" i="1"/>
  <c r="L147" i="1"/>
  <c r="H148" i="1"/>
  <c r="J148" i="1"/>
  <c r="L148" i="1"/>
  <c r="H149" i="1"/>
  <c r="J149" i="1"/>
  <c r="L149" i="1"/>
  <c r="H150" i="1"/>
  <c r="J150" i="1"/>
  <c r="L150" i="1"/>
  <c r="H151" i="1"/>
  <c r="J151" i="1"/>
  <c r="L151" i="1"/>
  <c r="H152" i="1"/>
  <c r="J152" i="1"/>
  <c r="L152" i="1"/>
  <c r="H153" i="1"/>
  <c r="J153" i="1"/>
  <c r="L153" i="1"/>
  <c r="H154" i="1"/>
  <c r="J154" i="1"/>
  <c r="L154" i="1"/>
  <c r="H155" i="1"/>
  <c r="J155" i="1"/>
  <c r="L155" i="1"/>
  <c r="H156" i="1"/>
  <c r="J156" i="1"/>
  <c r="L156" i="1"/>
  <c r="H157" i="1"/>
  <c r="J157" i="1"/>
  <c r="L157" i="1"/>
  <c r="H158" i="1"/>
  <c r="J158" i="1"/>
  <c r="L158" i="1"/>
  <c r="H159" i="1"/>
  <c r="J159" i="1"/>
  <c r="L159" i="1"/>
  <c r="H160" i="1"/>
  <c r="J160" i="1"/>
  <c r="L160" i="1"/>
  <c r="H161" i="1"/>
  <c r="J161" i="1"/>
  <c r="L161" i="1"/>
  <c r="H162" i="1"/>
  <c r="J162" i="1"/>
  <c r="L162" i="1"/>
  <c r="H163" i="1"/>
  <c r="J163" i="1"/>
  <c r="L163" i="1"/>
  <c r="H164" i="1"/>
  <c r="J164" i="1"/>
  <c r="L164" i="1"/>
  <c r="H165" i="1"/>
  <c r="J165" i="1"/>
  <c r="L165" i="1"/>
  <c r="H166" i="1"/>
  <c r="J166" i="1"/>
  <c r="L166" i="1"/>
  <c r="H167" i="1"/>
  <c r="J167" i="1"/>
  <c r="L167" i="1"/>
  <c r="H168" i="1"/>
  <c r="J168" i="1"/>
  <c r="L168" i="1"/>
  <c r="H169" i="1"/>
  <c r="J169" i="1"/>
  <c r="L169" i="1"/>
  <c r="H170" i="1"/>
  <c r="J170" i="1"/>
  <c r="L170" i="1"/>
  <c r="H171" i="1"/>
  <c r="J171" i="1"/>
  <c r="L171" i="1"/>
  <c r="H172" i="1"/>
  <c r="J172" i="1"/>
  <c r="L172" i="1"/>
  <c r="H173" i="1"/>
  <c r="J173" i="1"/>
  <c r="L173" i="1"/>
  <c r="H174" i="1"/>
  <c r="J174" i="1"/>
  <c r="L174" i="1"/>
  <c r="H175" i="1"/>
  <c r="J175" i="1"/>
  <c r="L175" i="1"/>
  <c r="H176" i="1"/>
  <c r="J176" i="1"/>
  <c r="L176" i="1"/>
  <c r="H177" i="1"/>
  <c r="J177" i="1"/>
  <c r="L177" i="1"/>
  <c r="H178" i="1"/>
  <c r="J178" i="1"/>
  <c r="L178" i="1"/>
  <c r="H179" i="1"/>
  <c r="J179" i="1"/>
  <c r="L179" i="1"/>
  <c r="H180" i="1"/>
  <c r="J180" i="1"/>
  <c r="L180" i="1"/>
  <c r="H181" i="1"/>
  <c r="J181" i="1"/>
  <c r="L181" i="1"/>
  <c r="H182" i="1"/>
  <c r="J182" i="1"/>
  <c r="L182" i="1"/>
  <c r="H183" i="1"/>
  <c r="J183" i="1"/>
  <c r="L183" i="1"/>
  <c r="H184" i="1"/>
  <c r="J184" i="1"/>
  <c r="L184" i="1"/>
  <c r="H185" i="1"/>
  <c r="J185" i="1"/>
  <c r="L185" i="1"/>
  <c r="H186" i="1"/>
  <c r="J186" i="1"/>
  <c r="L186" i="1"/>
  <c r="H187" i="1"/>
  <c r="J187" i="1"/>
  <c r="L187" i="1"/>
  <c r="H188" i="1"/>
  <c r="J188" i="1"/>
  <c r="L188" i="1"/>
  <c r="H189" i="1"/>
  <c r="J189" i="1"/>
  <c r="L189" i="1"/>
  <c r="H190" i="1"/>
  <c r="J190" i="1"/>
  <c r="L190" i="1"/>
  <c r="H191" i="1"/>
  <c r="J191" i="1"/>
  <c r="L191" i="1"/>
  <c r="H192" i="1"/>
  <c r="J192" i="1"/>
  <c r="L192" i="1"/>
  <c r="H193" i="1"/>
  <c r="J193" i="1"/>
  <c r="L193" i="1"/>
  <c r="H194" i="1"/>
  <c r="J194" i="1"/>
  <c r="L194" i="1"/>
  <c r="H195" i="1"/>
  <c r="J195" i="1"/>
  <c r="L195" i="1"/>
  <c r="H196" i="1"/>
  <c r="J196" i="1"/>
  <c r="L196" i="1"/>
  <c r="H197" i="1"/>
  <c r="J197" i="1"/>
  <c r="L197" i="1"/>
  <c r="H198" i="1"/>
  <c r="J198" i="1"/>
  <c r="L198" i="1"/>
  <c r="H199" i="1"/>
  <c r="J199" i="1"/>
  <c r="L199" i="1"/>
  <c r="H200" i="1"/>
  <c r="J200" i="1"/>
  <c r="L200" i="1"/>
  <c r="H201" i="1"/>
  <c r="J201" i="1"/>
  <c r="L201" i="1"/>
  <c r="H202" i="1"/>
  <c r="J202" i="1"/>
  <c r="L202" i="1"/>
  <c r="H203" i="1"/>
  <c r="J203" i="1"/>
  <c r="L203" i="1"/>
  <c r="H204" i="1"/>
  <c r="J204" i="1"/>
  <c r="L204" i="1"/>
  <c r="H205" i="1"/>
  <c r="J205" i="1"/>
  <c r="L205" i="1"/>
  <c r="H206" i="1"/>
  <c r="J206" i="1"/>
  <c r="L206" i="1"/>
  <c r="H207" i="1"/>
  <c r="J207" i="1"/>
  <c r="L207" i="1"/>
  <c r="H208" i="1"/>
  <c r="J208" i="1"/>
  <c r="L208" i="1"/>
  <c r="H209" i="1"/>
  <c r="J209" i="1"/>
  <c r="L209" i="1"/>
  <c r="H210" i="1"/>
  <c r="J210" i="1"/>
  <c r="L210" i="1"/>
  <c r="H211" i="1"/>
  <c r="J211" i="1"/>
  <c r="L211" i="1"/>
  <c r="H212" i="1"/>
  <c r="J212" i="1"/>
  <c r="L212" i="1"/>
  <c r="L2" i="1"/>
  <c r="J2" i="1"/>
  <c r="H2" i="1"/>
</calcChain>
</file>

<file path=xl/sharedStrings.xml><?xml version="1.0" encoding="utf-8"?>
<sst xmlns="http://schemas.openxmlformats.org/spreadsheetml/2006/main" count="1271" uniqueCount="220">
  <si>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</si>
  <si>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</si>
  <si>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</si>
  <si>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</si>
  <si>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</si>
  <si>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</si>
  <si>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</si>
  <si>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</si>
  <si>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</si>
  <si>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</si>
  <si>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</si>
  <si>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</si>
  <si>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</si>
  <si>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</si>
  <si>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</si>
  <si>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</si>
  <si>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</si>
  <si>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</si>
  <si>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</si>
  <si>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</si>
  <si>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</si>
  <si>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</si>
  <si>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</si>
  <si>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</si>
  <si>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</si>
  <si>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</si>
  <si>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</si>
  <si>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</si>
  <si>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</si>
  <si>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</si>
  <si>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</si>
  <si>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</si>
  <si>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</si>
  <si>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</si>
  <si>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</si>
  <si>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</si>
  <si>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</si>
  <si>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</si>
  <si>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</si>
  <si>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</si>
  <si>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</si>
  <si>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</si>
  <si>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Denmark</t>
  </si>
  <si>
    <t>Djibouti</t>
  </si>
  <si>
    <t>Dominica</t>
  </si>
  <si>
    <t>Dominican Republic</t>
  </si>
  <si>
    <t>DR Congo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</si>
  <si>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</si>
  <si>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</si>
  <si>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</si>
  <si>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</si>
  <si>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</si>
  <si>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</si>
  <si>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</si>
  <si>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</si>
  <si>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</si>
  <si>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Finland</t>
  </si>
  <si>
    <t>France</t>
  </si>
  <si>
    <t>French Guiana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</si>
  <si>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</si>
  <si>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</si>
  <si>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</si>
  <si>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</si>
  <si>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</si>
  <si>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</si>
  <si>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</si>
  <si>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</si>
  <si>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</si>
  <si>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</si>
  <si>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</si>
  <si>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</si>
  <si>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</si>
  <si>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</si>
  <si>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</si>
  <si>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</si>
  <si>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</si>
  <si>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</si>
  <si>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</si>
  <si>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</si>
  <si>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</si>
  <si>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</si>
  <si>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</si>
  <si>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</si>
  <si>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</si>
  <si>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</si>
  <si>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</si>
  <si>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</si>
  <si>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</si>
  <si>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</si>
  <si>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</si>
  <si>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</si>
  <si>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</si>
  <si>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</si>
  <si>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</si>
  <si>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</si>
  <si>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</si>
  <si>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</si>
  <si>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</si>
  <si>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</si>
  <si>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</si>
  <si>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</si>
  <si>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</si>
  <si>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</si>
  <si>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</si>
  <si>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</si>
  <si>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</si>
  <si>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</si>
  <si>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</si>
  <si>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</si>
  <si>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</si>
  <si>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Mayotte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</si>
  <si>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</si>
  <si>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</si>
  <si>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</si>
  <si>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</si>
  <si>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</si>
  <si>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</si>
  <si>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</si>
  <si>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</si>
  <si>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</si>
  <si>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</si>
  <si>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</si>
  <si>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</si>
  <si>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</si>
  <si>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</si>
  <si>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</si>
  <si>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</si>
  <si>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</si>
  <si>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</si>
  <si>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</si>
  <si>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</si>
  <si>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</si>
  <si>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</si>
  <si>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</si>
  <si>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</si>
  <si>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</si>
  <si>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</si>
  <si>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Réunion</t>
  </si>
  <si>
    <t>Romania</t>
  </si>
  <si>
    <t>Russia</t>
  </si>
  <si>
    <t>Rwanda</t>
  </si>
  <si>
    <t>Saint Helena</t>
  </si>
  <si>
    <t>Saint Kitts and Nevis</t>
  </si>
  <si>
    <t>Saint Lucia</t>
  </si>
  <si>
    <t>Saint Vincent and the Grenadines</t>
  </si>
  <si>
    <t>San Marino</t>
  </si>
  <si>
    <t>Sao Tome &amp;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</si>
  <si>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</si>
  <si>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</si>
  <si>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</si>
  <si>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</si>
  <si>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</si>
  <si>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</si>
  <si>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</si>
  <si>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</si>
  <si>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</si>
  <si>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</si>
  <si>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</si>
  <si>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</si>
  <si>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</si>
  <si>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</si>
  <si>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</si>
  <si>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</si>
  <si>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</si>
  <si>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</si>
  <si>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</si>
  <si>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</si>
  <si>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</si>
  <si>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</si>
  <si>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</si>
  <si>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</si>
  <si>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</si>
  <si>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</si>
  <si>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</si>
  <si>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</si>
  <si>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</si>
  <si>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</si>
  <si>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</si>
  <si>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</si>
  <si>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</si>
  <si>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</si>
  <si>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</si>
  <si>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</si>
  <si>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</si>
  <si>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</si>
  <si>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</si>
  <si>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Western Sahara</t>
  </si>
  <si>
    <t>Yemen</t>
  </si>
  <si>
    <t>Zambia</t>
  </si>
  <si>
    <t>Zimbabwe</t>
  </si>
  <si>
    <t>Northern Mariana Islands</t>
  </si>
  <si>
    <t>Kiribati</t>
  </si>
  <si>
    <t>Micronesia</t>
  </si>
  <si>
    <t>Bahamas</t>
  </si>
  <si>
    <t>Cook Islands</t>
  </si>
  <si>
    <t>Fiji</t>
  </si>
  <si>
    <t>Vanuatu</t>
  </si>
  <si>
    <t>Samoa</t>
  </si>
  <si>
    <t>Niue</t>
  </si>
  <si>
    <t>China visa free</t>
  </si>
  <si>
    <t>Schengen</t>
  </si>
  <si>
    <t>Green card</t>
  </si>
  <si>
    <t>Anguilla</t>
  </si>
  <si>
    <t>British Virgin Islands</t>
  </si>
  <si>
    <t>Cayman Islands</t>
  </si>
  <si>
    <t>Bermuda</t>
  </si>
  <si>
    <t>Turks and Caicos</t>
  </si>
  <si>
    <t>on arrival</t>
  </si>
  <si>
    <t>Tuvalu</t>
  </si>
  <si>
    <t>Palau</t>
  </si>
  <si>
    <t>Solomon Islands</t>
  </si>
  <si>
    <t>Country</t>
  </si>
  <si>
    <t>greenCard: "</t>
  </si>
  <si>
    <t>", schengen: "</t>
  </si>
  <si>
    <t>", chinesePassport: "</t>
  </si>
  <si>
    <t xml:space="preserve">", notes: </t>
  </si>
  <si>
    <t>},</t>
  </si>
  <si>
    <t>United States of America</t>
  </si>
  <si>
    <t>Czech Rep.</t>
  </si>
  <si>
    <t>Bosnia and Herz.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</si>
</sst>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2"/>
      <name val="Arial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9EEE-045A-4937-9AEE-B5A3E2E44D5B}">
  <dimension ref="A1:P213"/>
  <sheetViews>
    <sheetView tabSelected="1" topLeftCell="A192" workbookViewId="0">
      <selection activeCell="A213" sqref="A213:I214"/>
    </sheetView>
  </sheetViews>
  <sheetFormatPr defaultColWidth="11.5703125" defaultRowHeight="12.75" x14ac:dyDescent="0.2"/>
  <cols>
    <col min="1" max="1" width="35.28515625" bestFit="1" customWidth="1"/>
    <col min="2" max="2" width="13.140625" style="2" bestFit="1" customWidth="1"/>
    <col min="3" max="3" width="11.5703125" style="3"/>
    <col min="4" max="4" width="11.5703125" style="4"/>
    <col min="5" max="5" width="11.5703125" style="5"/>
    <col min="6" max="6" width="16.28515625" bestFit="1" customWidth="1"/>
  </cols>
  <sheetData>
    <row r="1" spans="1:16" x14ac:dyDescent="0.2">
      <c r="A1" t="s">
        <v>211</v>
      </c>
      <c r="B1" s="2" t="s">
        <v>199</v>
      </c>
      <c r="C1" s="3" t="s">
        <v>200</v>
      </c>
      <c r="D1" s="4" t="s">
        <v>201</v>
      </c>
      <c r="E1" s="5" t="s">
        <v>207</v>
      </c>
    </row>
    <row r="2" spans="1:16" ht="15" x14ac:dyDescent="0.2">
      <c r="A2" s="1" t="s">
        <v>0</v>
      </c>
      <c r="F2" t="str">
        <f>""""&amp;A2&amp;""": { "</f>
        <v xml:space="preserve">"Afghanistan": { </v>
      </c>
      <c r="G2" t="s">
        <v>212</v>
      </c>
      <c r="H2" t="str">
        <f>IF(D2=1,"Yes","No")</f>
        <v>No</v>
      </c>
      <c r="I2" t="s">
        <v>213</v>
      </c>
      <c r="J2" t="str">
        <f>IF(C2=1,"Yes","No")</f>
        <v>No</v>
      </c>
      <c r="K2" t="s">
        <v>214</v>
      </c>
      <c r="L2" t="str">
        <f>IF(OR(B2=1,E2=1),"Yes","No")</f>
        <v>No</v>
      </c>
      <c r="M2" t="s">
        <v>215</v>
      </c>
      <c r="N2" t="str">
        <f>IF(E2=1,"""Visa on Arrival""","""""")</f>
        <v>""</v>
      </c>
      <c r="O2" t="s">
        <v>216</v>
      </c>
      <c r="P2" t="str">
        <f>_xlfn.CONCAT(F2:O2)</f>
        <v>"Afghanistan": { greenCard: "No", schengen: "No", chinesePassport: "No", notes: ""},</v>
      </c>
    </row>
    <row r="3" spans="1:16" ht="15" x14ac:dyDescent="0.2">
      <c r="A3" s="1" t="s">
        <v>1</v>
      </c>
      <c r="B3" s="2">
        <v>1</v>
      </c>
      <c r="D3" s="4">
        <v>1</v>
      </c>
      <c r="F3" t="str">
        <f t="shared" ref="F3:F66" si="0">""""&amp;A3&amp;""": { "</f>
        <v xml:space="preserve">"Albania": { </v>
      </c>
      <c r="G3" t="s">
        <v>212</v>
      </c>
      <c r="H3" t="str">
        <f t="shared" ref="H3:H66" si="1">IF(D3=1,"Yes","No")</f>
        <v>Yes</v>
      </c>
      <c r="I3" t="s">
        <v>213</v>
      </c>
      <c r="J3" t="str">
        <f t="shared" ref="J3:J66" si="2">IF(C3=1,"Yes","No")</f>
        <v>No</v>
      </c>
      <c r="K3" t="s">
        <v>214</v>
      </c>
      <c r="L3" t="str">
        <f t="shared" ref="L3:L66" si="3">IF(OR(B3=1,E3=1),"Yes","No")</f>
        <v>Yes</v>
      </c>
      <c r="M3" t="s">
        <v>215</v>
      </c>
      <c r="N3" t="str">
        <f t="shared" ref="N3:N66" si="4">IF(E3=1,"""Visa on Arrival""","""""")</f>
        <v>""</v>
      </c>
      <c r="O3" t="s">
        <v>216</v>
      </c>
      <c r="P3" t="str">
        <f t="shared" ref="P3:P66" si="5">_xlfn.CONCAT(F3:O3)</f>
        <v>"Albania": { greenCard: "Yes", schengen: "No", chinesePassport: "Yes", notes: ""},</v>
      </c>
    </row>
    <row r="4" spans="1:16" ht="15" x14ac:dyDescent="0.2">
      <c r="A4" s="1" t="s">
        <v>2</v>
      </c>
      <c r="F4" t="str">
        <f t="shared" si="0"/>
        <v xml:space="preserve">"Algeria": { </v>
      </c>
      <c r="G4" t="s">
        <v>212</v>
      </c>
      <c r="H4" t="str">
        <f t="shared" si="1"/>
        <v>No</v>
      </c>
      <c r="I4" t="s">
        <v>213</v>
      </c>
      <c r="J4" t="str">
        <f t="shared" si="2"/>
        <v>No</v>
      </c>
      <c r="K4" t="s">
        <v>214</v>
      </c>
      <c r="L4" t="str">
        <f t="shared" si="3"/>
        <v>No</v>
      </c>
      <c r="M4" t="s">
        <v>215</v>
      </c>
      <c r="N4" t="str">
        <f t="shared" si="4"/>
        <v>""</v>
      </c>
      <c r="O4" t="s">
        <v>216</v>
      </c>
      <c r="P4" t="str">
        <f t="shared" si="5"/>
        <v>"Algeria": { greenCard: "No", schengen: "No", chinesePassport: "No", notes: ""},</v>
      </c>
    </row>
    <row r="5" spans="1:16" ht="15" x14ac:dyDescent="0.2">
      <c r="A5" s="1" t="s">
        <v>3</v>
      </c>
      <c r="C5" s="3">
        <v>1</v>
      </c>
      <c r="F5" t="str">
        <f t="shared" si="0"/>
        <v xml:space="preserve">"Andorra": { </v>
      </c>
      <c r="G5" t="s">
        <v>212</v>
      </c>
      <c r="H5" t="str">
        <f t="shared" si="1"/>
        <v>No</v>
      </c>
      <c r="I5" t="s">
        <v>213</v>
      </c>
      <c r="J5" t="str">
        <f t="shared" si="2"/>
        <v>Yes</v>
      </c>
      <c r="K5" t="s">
        <v>214</v>
      </c>
      <c r="L5" t="str">
        <f t="shared" si="3"/>
        <v>No</v>
      </c>
      <c r="M5" t="s">
        <v>215</v>
      </c>
      <c r="N5" t="str">
        <f t="shared" si="4"/>
        <v>""</v>
      </c>
      <c r="O5" t="s">
        <v>216</v>
      </c>
      <c r="P5" t="str">
        <f t="shared" si="5"/>
        <v>"Andorra": { greenCard: "No", schengen: "Yes", chinesePassport: "No", notes: ""},</v>
      </c>
    </row>
    <row r="6" spans="1:16" ht="15" x14ac:dyDescent="0.2">
      <c r="A6" s="1" t="s">
        <v>4</v>
      </c>
      <c r="B6" s="2">
        <v>1</v>
      </c>
      <c r="F6" t="str">
        <f t="shared" si="0"/>
        <v xml:space="preserve">"Angola": { </v>
      </c>
      <c r="G6" t="s">
        <v>212</v>
      </c>
      <c r="H6" t="str">
        <f t="shared" si="1"/>
        <v>No</v>
      </c>
      <c r="I6" t="s">
        <v>213</v>
      </c>
      <c r="J6" t="str">
        <f t="shared" si="2"/>
        <v>No</v>
      </c>
      <c r="K6" t="s">
        <v>214</v>
      </c>
      <c r="L6" t="str">
        <f t="shared" si="3"/>
        <v>Yes</v>
      </c>
      <c r="M6" t="s">
        <v>215</v>
      </c>
      <c r="N6" t="str">
        <f t="shared" si="4"/>
        <v>""</v>
      </c>
      <c r="O6" t="s">
        <v>216</v>
      </c>
      <c r="P6" t="str">
        <f t="shared" si="5"/>
        <v>"Angola": { greenCard: "No", schengen: "No", chinesePassport: "Yes", notes: ""},</v>
      </c>
    </row>
    <row r="7" spans="1:16" ht="15" x14ac:dyDescent="0.2">
      <c r="A7" s="1" t="s">
        <v>5</v>
      </c>
      <c r="B7" s="2">
        <v>1</v>
      </c>
      <c r="D7" s="4">
        <v>1</v>
      </c>
      <c r="F7" t="str">
        <f t="shared" si="0"/>
        <v xml:space="preserve">"Antigua and Barbuda": { </v>
      </c>
      <c r="G7" t="s">
        <v>212</v>
      </c>
      <c r="H7" t="str">
        <f t="shared" si="1"/>
        <v>Yes</v>
      </c>
      <c r="I7" t="s">
        <v>213</v>
      </c>
      <c r="J7" t="str">
        <f t="shared" si="2"/>
        <v>No</v>
      </c>
      <c r="K7" t="s">
        <v>214</v>
      </c>
      <c r="L7" t="str">
        <f t="shared" si="3"/>
        <v>Yes</v>
      </c>
      <c r="M7" t="s">
        <v>215</v>
      </c>
      <c r="N7" t="str">
        <f t="shared" si="4"/>
        <v>""</v>
      </c>
      <c r="O7" t="s">
        <v>216</v>
      </c>
      <c r="P7" t="str">
        <f t="shared" si="5"/>
        <v>"Antigua and Barbuda": { greenCard: "Yes", schengen: "No", chinesePassport: "Yes", notes: ""},</v>
      </c>
    </row>
    <row r="8" spans="1:16" ht="15" x14ac:dyDescent="0.2">
      <c r="A8" s="1" t="s">
        <v>6</v>
      </c>
      <c r="F8" t="str">
        <f t="shared" si="0"/>
        <v xml:space="preserve">"Argentina": { </v>
      </c>
      <c r="G8" t="s">
        <v>212</v>
      </c>
      <c r="H8" t="str">
        <f t="shared" si="1"/>
        <v>No</v>
      </c>
      <c r="I8" t="s">
        <v>213</v>
      </c>
      <c r="J8" t="str">
        <f t="shared" si="2"/>
        <v>No</v>
      </c>
      <c r="K8" t="s">
        <v>214</v>
      </c>
      <c r="L8" t="str">
        <f t="shared" si="3"/>
        <v>No</v>
      </c>
      <c r="M8" t="s">
        <v>215</v>
      </c>
      <c r="N8" t="str">
        <f t="shared" si="4"/>
        <v>""</v>
      </c>
      <c r="O8" t="s">
        <v>216</v>
      </c>
      <c r="P8" t="str">
        <f t="shared" si="5"/>
        <v>"Argentina": { greenCard: "No", schengen: "No", chinesePassport: "No", notes: ""},</v>
      </c>
    </row>
    <row r="9" spans="1:16" ht="15" x14ac:dyDescent="0.2">
      <c r="A9" s="1" t="s">
        <v>7</v>
      </c>
      <c r="B9" s="2">
        <v>1</v>
      </c>
      <c r="F9" t="str">
        <f t="shared" si="0"/>
        <v xml:space="preserve">"Armenia": { </v>
      </c>
      <c r="G9" t="s">
        <v>212</v>
      </c>
      <c r="H9" t="str">
        <f t="shared" si="1"/>
        <v>No</v>
      </c>
      <c r="I9" t="s">
        <v>213</v>
      </c>
      <c r="J9" t="str">
        <f t="shared" si="2"/>
        <v>No</v>
      </c>
      <c r="K9" t="s">
        <v>214</v>
      </c>
      <c r="L9" t="str">
        <f t="shared" si="3"/>
        <v>Yes</v>
      </c>
      <c r="M9" t="s">
        <v>215</v>
      </c>
      <c r="N9" t="str">
        <f t="shared" si="4"/>
        <v>""</v>
      </c>
      <c r="O9" t="s">
        <v>216</v>
      </c>
      <c r="P9" t="str">
        <f t="shared" si="5"/>
        <v>"Armenia": { greenCard: "No", schengen: "No", chinesePassport: "Yes", notes: ""},</v>
      </c>
    </row>
    <row r="10" spans="1:16" ht="15" x14ac:dyDescent="0.2">
      <c r="A10" s="1" t="s">
        <v>8</v>
      </c>
      <c r="C10" s="3">
        <v>1</v>
      </c>
      <c r="F10" t="str">
        <f t="shared" si="0"/>
        <v xml:space="preserve">"Austria": { </v>
      </c>
      <c r="G10" t="s">
        <v>212</v>
      </c>
      <c r="H10" t="str">
        <f t="shared" si="1"/>
        <v>No</v>
      </c>
      <c r="I10" t="s">
        <v>213</v>
      </c>
      <c r="J10" t="str">
        <f t="shared" si="2"/>
        <v>Yes</v>
      </c>
      <c r="K10" t="s">
        <v>214</v>
      </c>
      <c r="L10" t="str">
        <f t="shared" si="3"/>
        <v>No</v>
      </c>
      <c r="M10" t="s">
        <v>215</v>
      </c>
      <c r="N10" t="str">
        <f t="shared" si="4"/>
        <v>""</v>
      </c>
      <c r="O10" t="s">
        <v>216</v>
      </c>
      <c r="P10" t="str">
        <f t="shared" si="5"/>
        <v>"Austria": { greenCard: "No", schengen: "Yes", chinesePassport: "No", notes: ""},</v>
      </c>
    </row>
    <row r="11" spans="1:16" ht="15" x14ac:dyDescent="0.2">
      <c r="A11" s="1" t="s">
        <v>9</v>
      </c>
      <c r="B11" s="2">
        <v>1</v>
      </c>
      <c r="F11" t="str">
        <f t="shared" si="0"/>
        <v xml:space="preserve">"Azerbaijan": { </v>
      </c>
      <c r="G11" t="s">
        <v>212</v>
      </c>
      <c r="H11" t="str">
        <f t="shared" si="1"/>
        <v>No</v>
      </c>
      <c r="I11" t="s">
        <v>213</v>
      </c>
      <c r="J11" t="str">
        <f t="shared" si="2"/>
        <v>No</v>
      </c>
      <c r="K11" t="s">
        <v>214</v>
      </c>
      <c r="L11" t="str">
        <f t="shared" si="3"/>
        <v>Yes</v>
      </c>
      <c r="M11" t="s">
        <v>215</v>
      </c>
      <c r="N11" t="str">
        <f t="shared" si="4"/>
        <v>""</v>
      </c>
      <c r="O11" t="s">
        <v>216</v>
      </c>
      <c r="P11" t="str">
        <f t="shared" si="5"/>
        <v>"Azerbaijan": { greenCard: "No", schengen: "No", chinesePassport: "Yes", notes: ""},</v>
      </c>
    </row>
    <row r="12" spans="1:16" ht="15" x14ac:dyDescent="0.2">
      <c r="A12" s="1" t="s">
        <v>10</v>
      </c>
      <c r="E12" s="5">
        <v>1</v>
      </c>
      <c r="F12" t="str">
        <f t="shared" si="0"/>
        <v xml:space="preserve">"Bahrain": { </v>
      </c>
      <c r="G12" t="s">
        <v>212</v>
      </c>
      <c r="H12" t="str">
        <f t="shared" si="1"/>
        <v>No</v>
      </c>
      <c r="I12" t="s">
        <v>213</v>
      </c>
      <c r="J12" t="str">
        <f t="shared" si="2"/>
        <v>No</v>
      </c>
      <c r="K12" t="s">
        <v>214</v>
      </c>
      <c r="L12" t="str">
        <f t="shared" si="3"/>
        <v>Yes</v>
      </c>
      <c r="M12" t="s">
        <v>215</v>
      </c>
      <c r="N12" t="str">
        <f t="shared" si="4"/>
        <v>"Visa on Arrival"</v>
      </c>
      <c r="O12" t="s">
        <v>216</v>
      </c>
      <c r="P12" t="str">
        <f t="shared" si="5"/>
        <v>"Bahrain": { greenCard: "No", schengen: "No", chinesePassport: "Yes", notes: "Visa on Arrival"},</v>
      </c>
    </row>
    <row r="13" spans="1:16" ht="15" x14ac:dyDescent="0.2">
      <c r="A13" s="1" t="s">
        <v>11</v>
      </c>
      <c r="E13" s="5">
        <v>1</v>
      </c>
      <c r="F13" t="str">
        <f t="shared" si="0"/>
        <v xml:space="preserve">"Bangladesh": { </v>
      </c>
      <c r="G13" t="s">
        <v>212</v>
      </c>
      <c r="H13" t="str">
        <f t="shared" si="1"/>
        <v>No</v>
      </c>
      <c r="I13" t="s">
        <v>213</v>
      </c>
      <c r="J13" t="str">
        <f t="shared" si="2"/>
        <v>No</v>
      </c>
      <c r="K13" t="s">
        <v>214</v>
      </c>
      <c r="L13" t="str">
        <f t="shared" si="3"/>
        <v>Yes</v>
      </c>
      <c r="M13" t="s">
        <v>215</v>
      </c>
      <c r="N13" t="str">
        <f t="shared" si="4"/>
        <v>"Visa on Arrival"</v>
      </c>
      <c r="O13" t="s">
        <v>216</v>
      </c>
      <c r="P13" t="str">
        <f t="shared" si="5"/>
        <v>"Bangladesh": { greenCard: "No", schengen: "No", chinesePassport: "Yes", notes: "Visa on Arrival"},</v>
      </c>
    </row>
    <row r="14" spans="1:16" ht="15" x14ac:dyDescent="0.2">
      <c r="A14" s="1" t="s">
        <v>12</v>
      </c>
      <c r="B14" s="2">
        <v>1</v>
      </c>
      <c r="F14" t="str">
        <f t="shared" si="0"/>
        <v xml:space="preserve">"Barbados": { </v>
      </c>
      <c r="G14" t="s">
        <v>212</v>
      </c>
      <c r="H14" t="str">
        <f t="shared" si="1"/>
        <v>No</v>
      </c>
      <c r="I14" t="s">
        <v>213</v>
      </c>
      <c r="J14" t="str">
        <f t="shared" si="2"/>
        <v>No</v>
      </c>
      <c r="K14" t="s">
        <v>214</v>
      </c>
      <c r="L14" t="str">
        <f t="shared" si="3"/>
        <v>Yes</v>
      </c>
      <c r="M14" t="s">
        <v>215</v>
      </c>
      <c r="N14" t="str">
        <f t="shared" si="4"/>
        <v>""</v>
      </c>
      <c r="O14" t="s">
        <v>216</v>
      </c>
      <c r="P14" t="str">
        <f t="shared" si="5"/>
        <v>"Barbados": { greenCard: "No", schengen: "No", chinesePassport: "Yes", notes: ""},</v>
      </c>
    </row>
    <row r="15" spans="1:16" ht="15" x14ac:dyDescent="0.2">
      <c r="A15" s="1" t="s">
        <v>13</v>
      </c>
      <c r="B15" s="2">
        <v>1</v>
      </c>
      <c r="F15" t="str">
        <f t="shared" si="0"/>
        <v xml:space="preserve">"Belarus": { </v>
      </c>
      <c r="G15" t="s">
        <v>212</v>
      </c>
      <c r="H15" t="str">
        <f t="shared" si="1"/>
        <v>No</v>
      </c>
      <c r="I15" t="s">
        <v>213</v>
      </c>
      <c r="J15" t="str">
        <f t="shared" si="2"/>
        <v>No</v>
      </c>
      <c r="K15" t="s">
        <v>214</v>
      </c>
      <c r="L15" t="str">
        <f t="shared" si="3"/>
        <v>Yes</v>
      </c>
      <c r="M15" t="s">
        <v>215</v>
      </c>
      <c r="N15" t="str">
        <f t="shared" si="4"/>
        <v>""</v>
      </c>
      <c r="O15" t="s">
        <v>216</v>
      </c>
      <c r="P15" t="str">
        <f t="shared" si="5"/>
        <v>"Belarus": { greenCard: "No", schengen: "No", chinesePassport: "Yes", notes: ""},</v>
      </c>
    </row>
    <row r="16" spans="1:16" ht="15" x14ac:dyDescent="0.2">
      <c r="A16" s="1" t="s">
        <v>14</v>
      </c>
      <c r="C16" s="3">
        <v>1</v>
      </c>
      <c r="F16" t="str">
        <f t="shared" si="0"/>
        <v xml:space="preserve">"Belgium": { </v>
      </c>
      <c r="G16" t="s">
        <v>212</v>
      </c>
      <c r="H16" t="str">
        <f t="shared" si="1"/>
        <v>No</v>
      </c>
      <c r="I16" t="s">
        <v>213</v>
      </c>
      <c r="J16" t="str">
        <f t="shared" si="2"/>
        <v>Yes</v>
      </c>
      <c r="K16" t="s">
        <v>214</v>
      </c>
      <c r="L16" t="str">
        <f t="shared" si="3"/>
        <v>No</v>
      </c>
      <c r="M16" t="s">
        <v>215</v>
      </c>
      <c r="N16" t="str">
        <f t="shared" si="4"/>
        <v>""</v>
      </c>
      <c r="O16" t="s">
        <v>216</v>
      </c>
      <c r="P16" t="str">
        <f t="shared" si="5"/>
        <v>"Belgium": { greenCard: "No", schengen: "Yes", chinesePassport: "No", notes: ""},</v>
      </c>
    </row>
    <row r="17" spans="1:16" ht="15" x14ac:dyDescent="0.2">
      <c r="A17" s="1" t="s">
        <v>15</v>
      </c>
      <c r="D17" s="4">
        <v>1</v>
      </c>
      <c r="F17" t="str">
        <f t="shared" si="0"/>
        <v xml:space="preserve">"Belize": { </v>
      </c>
      <c r="G17" t="s">
        <v>212</v>
      </c>
      <c r="H17" t="str">
        <f t="shared" si="1"/>
        <v>Yes</v>
      </c>
      <c r="I17" t="s">
        <v>213</v>
      </c>
      <c r="J17" t="str">
        <f t="shared" si="2"/>
        <v>No</v>
      </c>
      <c r="K17" t="s">
        <v>214</v>
      </c>
      <c r="L17" t="str">
        <f t="shared" si="3"/>
        <v>No</v>
      </c>
      <c r="M17" t="s">
        <v>215</v>
      </c>
      <c r="N17" t="str">
        <f t="shared" si="4"/>
        <v>""</v>
      </c>
      <c r="O17" t="s">
        <v>216</v>
      </c>
      <c r="P17" t="str">
        <f t="shared" si="5"/>
        <v>"Belize": { greenCard: "Yes", schengen: "No", chinesePassport: "No", notes: ""},</v>
      </c>
    </row>
    <row r="18" spans="1:16" ht="15" x14ac:dyDescent="0.2">
      <c r="A18" s="1" t="s">
        <v>16</v>
      </c>
      <c r="B18" s="2">
        <v>1</v>
      </c>
      <c r="F18" t="str">
        <f t="shared" si="0"/>
        <v xml:space="preserve">"Benin": { </v>
      </c>
      <c r="G18" t="s">
        <v>212</v>
      </c>
      <c r="H18" t="str">
        <f t="shared" si="1"/>
        <v>No</v>
      </c>
      <c r="I18" t="s">
        <v>213</v>
      </c>
      <c r="J18" t="str">
        <f t="shared" si="2"/>
        <v>No</v>
      </c>
      <c r="K18" t="s">
        <v>214</v>
      </c>
      <c r="L18" t="str">
        <f t="shared" si="3"/>
        <v>Yes</v>
      </c>
      <c r="M18" t="s">
        <v>215</v>
      </c>
      <c r="N18" t="str">
        <f t="shared" si="4"/>
        <v>""</v>
      </c>
      <c r="O18" t="s">
        <v>216</v>
      </c>
      <c r="P18" t="str">
        <f t="shared" si="5"/>
        <v>"Benin": { greenCard: "No", schengen: "No", chinesePassport: "Yes", notes: ""},</v>
      </c>
    </row>
    <row r="19" spans="1:16" ht="15" x14ac:dyDescent="0.2">
      <c r="A19" s="1" t="s">
        <v>17</v>
      </c>
      <c r="F19" t="str">
        <f t="shared" si="0"/>
        <v xml:space="preserve">"Bhutan": { </v>
      </c>
      <c r="G19" t="s">
        <v>212</v>
      </c>
      <c r="H19" t="str">
        <f t="shared" si="1"/>
        <v>No</v>
      </c>
      <c r="I19" t="s">
        <v>213</v>
      </c>
      <c r="J19" t="str">
        <f t="shared" si="2"/>
        <v>No</v>
      </c>
      <c r="K19" t="s">
        <v>214</v>
      </c>
      <c r="L19" t="str">
        <f t="shared" si="3"/>
        <v>No</v>
      </c>
      <c r="M19" t="s">
        <v>215</v>
      </c>
      <c r="N19" t="str">
        <f t="shared" si="4"/>
        <v>""</v>
      </c>
      <c r="O19" t="s">
        <v>216</v>
      </c>
      <c r="P19" t="str">
        <f t="shared" si="5"/>
        <v>"Bhutan": { greenCard: "No", schengen: "No", chinesePassport: "No", notes: ""},</v>
      </c>
    </row>
    <row r="20" spans="1:16" ht="15" x14ac:dyDescent="0.2">
      <c r="A20" s="1" t="s">
        <v>18</v>
      </c>
      <c r="F20" t="str">
        <f t="shared" si="0"/>
        <v xml:space="preserve">"Bolivia": { </v>
      </c>
      <c r="G20" t="s">
        <v>212</v>
      </c>
      <c r="H20" t="str">
        <f t="shared" si="1"/>
        <v>No</v>
      </c>
      <c r="I20" t="s">
        <v>213</v>
      </c>
      <c r="J20" t="str">
        <f t="shared" si="2"/>
        <v>No</v>
      </c>
      <c r="K20" t="s">
        <v>214</v>
      </c>
      <c r="L20" t="str">
        <f t="shared" si="3"/>
        <v>No</v>
      </c>
      <c r="M20" t="s">
        <v>215</v>
      </c>
      <c r="N20" t="str">
        <f t="shared" si="4"/>
        <v>""</v>
      </c>
      <c r="O20" t="s">
        <v>216</v>
      </c>
      <c r="P20" t="str">
        <f t="shared" si="5"/>
        <v>"Bolivia": { greenCard: "No", schengen: "No", chinesePassport: "No", notes: ""},</v>
      </c>
    </row>
    <row r="21" spans="1:16" ht="15" x14ac:dyDescent="0.2">
      <c r="A21" s="1" t="s">
        <v>219</v>
      </c>
      <c r="B21" s="2">
        <v>1</v>
      </c>
      <c r="D21" s="4">
        <v>1</v>
      </c>
      <c r="F21" t="str">
        <f t="shared" si="0"/>
        <v xml:space="preserve">"Bosnia and Herz.": { </v>
      </c>
      <c r="G21" t="s">
        <v>212</v>
      </c>
      <c r="H21" t="str">
        <f t="shared" si="1"/>
        <v>Yes</v>
      </c>
      <c r="I21" t="s">
        <v>213</v>
      </c>
      <c r="J21" t="str">
        <f t="shared" si="2"/>
        <v>No</v>
      </c>
      <c r="K21" t="s">
        <v>214</v>
      </c>
      <c r="L21" t="str">
        <f t="shared" si="3"/>
        <v>Yes</v>
      </c>
      <c r="M21" t="s">
        <v>215</v>
      </c>
      <c r="N21" t="str">
        <f t="shared" si="4"/>
        <v>""</v>
      </c>
      <c r="O21" t="s">
        <v>216</v>
      </c>
      <c r="P21" t="str">
        <f t="shared" si="5"/>
        <v>"Bosnia and Herz.": { greenCard: "Yes", schengen: "No", chinesePassport: "Yes", notes: ""},</v>
      </c>
    </row>
    <row r="22" spans="1:16" ht="15" x14ac:dyDescent="0.2">
      <c r="A22" s="1" t="s">
        <v>19</v>
      </c>
      <c r="F22" t="str">
        <f t="shared" si="0"/>
        <v xml:space="preserve">"Botswana": { </v>
      </c>
      <c r="G22" t="s">
        <v>212</v>
      </c>
      <c r="H22" t="str">
        <f t="shared" si="1"/>
        <v>No</v>
      </c>
      <c r="I22" t="s">
        <v>213</v>
      </c>
      <c r="J22" t="str">
        <f t="shared" si="2"/>
        <v>No</v>
      </c>
      <c r="K22" t="s">
        <v>214</v>
      </c>
      <c r="L22" t="str">
        <f t="shared" si="3"/>
        <v>No</v>
      </c>
      <c r="M22" t="s">
        <v>215</v>
      </c>
      <c r="N22" t="str">
        <f t="shared" si="4"/>
        <v>""</v>
      </c>
      <c r="O22" t="s">
        <v>216</v>
      </c>
      <c r="P22" t="str">
        <f t="shared" si="5"/>
        <v>"Botswana": { greenCard: "No", schengen: "No", chinesePassport: "No", notes: ""},</v>
      </c>
    </row>
    <row r="23" spans="1:16" ht="15" x14ac:dyDescent="0.2">
      <c r="A23" s="1" t="s">
        <v>20</v>
      </c>
      <c r="F23" t="str">
        <f t="shared" si="0"/>
        <v xml:space="preserve">"Brazil": { </v>
      </c>
      <c r="G23" t="s">
        <v>212</v>
      </c>
      <c r="H23" t="str">
        <f t="shared" si="1"/>
        <v>No</v>
      </c>
      <c r="I23" t="s">
        <v>213</v>
      </c>
      <c r="J23" t="str">
        <f t="shared" si="2"/>
        <v>No</v>
      </c>
      <c r="K23" t="s">
        <v>214</v>
      </c>
      <c r="L23" t="str">
        <f t="shared" si="3"/>
        <v>No</v>
      </c>
      <c r="M23" t="s">
        <v>215</v>
      </c>
      <c r="N23" t="str">
        <f t="shared" si="4"/>
        <v>""</v>
      </c>
      <c r="O23" t="s">
        <v>216</v>
      </c>
      <c r="P23" t="str">
        <f t="shared" si="5"/>
        <v>"Brazil": { greenCard: "No", schengen: "No", chinesePassport: "No", notes: ""},</v>
      </c>
    </row>
    <row r="24" spans="1:16" ht="15" x14ac:dyDescent="0.2">
      <c r="A24" s="1" t="s">
        <v>21</v>
      </c>
      <c r="B24" s="2">
        <v>1</v>
      </c>
      <c r="F24" t="str">
        <f t="shared" si="0"/>
        <v xml:space="preserve">"Brunei": { </v>
      </c>
      <c r="G24" t="s">
        <v>212</v>
      </c>
      <c r="H24" t="str">
        <f t="shared" si="1"/>
        <v>No</v>
      </c>
      <c r="I24" t="s">
        <v>213</v>
      </c>
      <c r="J24" t="str">
        <f t="shared" si="2"/>
        <v>No</v>
      </c>
      <c r="K24" t="s">
        <v>214</v>
      </c>
      <c r="L24" t="str">
        <f t="shared" si="3"/>
        <v>Yes</v>
      </c>
      <c r="M24" t="s">
        <v>215</v>
      </c>
      <c r="N24" t="str">
        <f t="shared" si="4"/>
        <v>""</v>
      </c>
      <c r="O24" t="s">
        <v>216</v>
      </c>
      <c r="P24" t="str">
        <f t="shared" si="5"/>
        <v>"Brunei": { greenCard: "No", schengen: "No", chinesePassport: "Yes", notes: ""},</v>
      </c>
    </row>
    <row r="25" spans="1:16" ht="15" x14ac:dyDescent="0.2">
      <c r="A25" s="1" t="s">
        <v>22</v>
      </c>
      <c r="C25" s="3">
        <v>1</v>
      </c>
      <c r="F25" t="str">
        <f t="shared" si="0"/>
        <v xml:space="preserve">"Bulgaria": { </v>
      </c>
      <c r="G25" t="s">
        <v>212</v>
      </c>
      <c r="H25" t="str">
        <f t="shared" si="1"/>
        <v>No</v>
      </c>
      <c r="I25" t="s">
        <v>213</v>
      </c>
      <c r="J25" t="str">
        <f t="shared" si="2"/>
        <v>Yes</v>
      </c>
      <c r="K25" t="s">
        <v>214</v>
      </c>
      <c r="L25" t="str">
        <f t="shared" si="3"/>
        <v>No</v>
      </c>
      <c r="M25" t="s">
        <v>215</v>
      </c>
      <c r="N25" t="str">
        <f t="shared" si="4"/>
        <v>""</v>
      </c>
      <c r="O25" t="s">
        <v>216</v>
      </c>
      <c r="P25" t="str">
        <f t="shared" si="5"/>
        <v>"Bulgaria": { greenCard: "No", schengen: "Yes", chinesePassport: "No", notes: ""},</v>
      </c>
    </row>
    <row r="26" spans="1:16" ht="15" x14ac:dyDescent="0.2">
      <c r="A26" s="1" t="s">
        <v>23</v>
      </c>
      <c r="F26" t="str">
        <f t="shared" si="0"/>
        <v xml:space="preserve">"Burkina Faso": { </v>
      </c>
      <c r="G26" t="s">
        <v>212</v>
      </c>
      <c r="H26" t="str">
        <f t="shared" si="1"/>
        <v>No</v>
      </c>
      <c r="I26" t="s">
        <v>213</v>
      </c>
      <c r="J26" t="str">
        <f t="shared" si="2"/>
        <v>No</v>
      </c>
      <c r="K26" t="s">
        <v>214</v>
      </c>
      <c r="L26" t="str">
        <f t="shared" si="3"/>
        <v>No</v>
      </c>
      <c r="M26" t="s">
        <v>215</v>
      </c>
      <c r="N26" t="str">
        <f t="shared" si="4"/>
        <v>""</v>
      </c>
      <c r="O26" t="s">
        <v>216</v>
      </c>
      <c r="P26" t="str">
        <f t="shared" si="5"/>
        <v>"Burkina Faso": { greenCard: "No", schengen: "No", chinesePassport: "No", notes: ""},</v>
      </c>
    </row>
    <row r="27" spans="1:16" ht="15" x14ac:dyDescent="0.2">
      <c r="A27" s="1" t="s">
        <v>24</v>
      </c>
      <c r="E27" s="5">
        <v>1</v>
      </c>
      <c r="F27" t="str">
        <f t="shared" si="0"/>
        <v xml:space="preserve">"Burundi": { </v>
      </c>
      <c r="G27" t="s">
        <v>212</v>
      </c>
      <c r="H27" t="str">
        <f t="shared" si="1"/>
        <v>No</v>
      </c>
      <c r="I27" t="s">
        <v>213</v>
      </c>
      <c r="J27" t="str">
        <f t="shared" si="2"/>
        <v>No</v>
      </c>
      <c r="K27" t="s">
        <v>214</v>
      </c>
      <c r="L27" t="str">
        <f t="shared" si="3"/>
        <v>Yes</v>
      </c>
      <c r="M27" t="s">
        <v>215</v>
      </c>
      <c r="N27" t="str">
        <f t="shared" si="4"/>
        <v>"Visa on Arrival"</v>
      </c>
      <c r="O27" t="s">
        <v>216</v>
      </c>
      <c r="P27" t="str">
        <f t="shared" si="5"/>
        <v>"Burundi": { greenCard: "No", schengen: "No", chinesePassport: "Yes", notes: "Visa on Arrival"},</v>
      </c>
    </row>
    <row r="28" spans="1:16" ht="15" x14ac:dyDescent="0.2">
      <c r="A28" s="1" t="s">
        <v>25</v>
      </c>
      <c r="E28" s="5">
        <v>1</v>
      </c>
      <c r="F28" t="str">
        <f t="shared" si="0"/>
        <v xml:space="preserve">"Cabo Verde": { </v>
      </c>
      <c r="G28" t="s">
        <v>212</v>
      </c>
      <c r="H28" t="str">
        <f t="shared" si="1"/>
        <v>No</v>
      </c>
      <c r="I28" t="s">
        <v>213</v>
      </c>
      <c r="J28" t="str">
        <f t="shared" si="2"/>
        <v>No</v>
      </c>
      <c r="K28" t="s">
        <v>214</v>
      </c>
      <c r="L28" t="str">
        <f t="shared" si="3"/>
        <v>Yes</v>
      </c>
      <c r="M28" t="s">
        <v>215</v>
      </c>
      <c r="N28" t="str">
        <f t="shared" si="4"/>
        <v>"Visa on Arrival"</v>
      </c>
      <c r="O28" t="s">
        <v>216</v>
      </c>
      <c r="P28" t="str">
        <f t="shared" si="5"/>
        <v>"Cabo Verde": { greenCard: "No", schengen: "No", chinesePassport: "Yes", notes: "Visa on Arrival"},</v>
      </c>
    </row>
    <row r="29" spans="1:16" ht="15" x14ac:dyDescent="0.2">
      <c r="A29" s="1" t="s">
        <v>26</v>
      </c>
      <c r="E29" s="5">
        <v>1</v>
      </c>
      <c r="F29" t="str">
        <f t="shared" si="0"/>
        <v xml:space="preserve">"Cambodia": { </v>
      </c>
      <c r="G29" t="s">
        <v>212</v>
      </c>
      <c r="H29" t="str">
        <f t="shared" si="1"/>
        <v>No</v>
      </c>
      <c r="I29" t="s">
        <v>213</v>
      </c>
      <c r="J29" t="str">
        <f t="shared" si="2"/>
        <v>No</v>
      </c>
      <c r="K29" t="s">
        <v>214</v>
      </c>
      <c r="L29" t="str">
        <f t="shared" si="3"/>
        <v>Yes</v>
      </c>
      <c r="M29" t="s">
        <v>215</v>
      </c>
      <c r="N29" t="str">
        <f t="shared" si="4"/>
        <v>"Visa on Arrival"</v>
      </c>
      <c r="O29" t="s">
        <v>216</v>
      </c>
      <c r="P29" t="str">
        <f t="shared" si="5"/>
        <v>"Cambodia": { greenCard: "No", schengen: "No", chinesePassport: "Yes", notes: "Visa on Arrival"},</v>
      </c>
    </row>
    <row r="30" spans="1:16" ht="15" x14ac:dyDescent="0.2">
      <c r="A30" s="1" t="s">
        <v>27</v>
      </c>
      <c r="F30" t="str">
        <f t="shared" si="0"/>
        <v xml:space="preserve">"Cameroon": { </v>
      </c>
      <c r="G30" t="s">
        <v>212</v>
      </c>
      <c r="H30" t="str">
        <f t="shared" si="1"/>
        <v>No</v>
      </c>
      <c r="I30" t="s">
        <v>213</v>
      </c>
      <c r="J30" t="str">
        <f t="shared" si="2"/>
        <v>No</v>
      </c>
      <c r="K30" t="s">
        <v>214</v>
      </c>
      <c r="L30" t="str">
        <f t="shared" si="3"/>
        <v>No</v>
      </c>
      <c r="M30" t="s">
        <v>215</v>
      </c>
      <c r="N30" t="str">
        <f t="shared" si="4"/>
        <v>""</v>
      </c>
      <c r="O30" t="s">
        <v>216</v>
      </c>
      <c r="P30" t="str">
        <f t="shared" si="5"/>
        <v>"Cameroon": { greenCard: "No", schengen: "No", chinesePassport: "No", notes: ""},</v>
      </c>
    </row>
    <row r="31" spans="1:16" ht="15" x14ac:dyDescent="0.2">
      <c r="A31" s="1" t="s">
        <v>28</v>
      </c>
      <c r="D31" s="4">
        <v>1</v>
      </c>
      <c r="F31" t="str">
        <f t="shared" si="0"/>
        <v xml:space="preserve">"Canada": { </v>
      </c>
      <c r="G31" t="s">
        <v>212</v>
      </c>
      <c r="H31" t="str">
        <f t="shared" si="1"/>
        <v>Yes</v>
      </c>
      <c r="I31" t="s">
        <v>213</v>
      </c>
      <c r="J31" t="str">
        <f t="shared" si="2"/>
        <v>No</v>
      </c>
      <c r="K31" t="s">
        <v>214</v>
      </c>
      <c r="L31" t="str">
        <f t="shared" si="3"/>
        <v>No</v>
      </c>
      <c r="M31" t="s">
        <v>215</v>
      </c>
      <c r="N31" t="str">
        <f t="shared" si="4"/>
        <v>""</v>
      </c>
      <c r="O31" t="s">
        <v>216</v>
      </c>
      <c r="P31" t="str">
        <f t="shared" si="5"/>
        <v>"Canada": { greenCard: "Yes", schengen: "No", chinesePassport: "No", notes: ""},</v>
      </c>
    </row>
    <row r="32" spans="1:16" ht="15" x14ac:dyDescent="0.2">
      <c r="A32" s="1" t="s">
        <v>29</v>
      </c>
      <c r="F32" t="str">
        <f t="shared" si="0"/>
        <v xml:space="preserve">"Central African Republic": { </v>
      </c>
      <c r="G32" t="s">
        <v>212</v>
      </c>
      <c r="H32" t="str">
        <f t="shared" si="1"/>
        <v>No</v>
      </c>
      <c r="I32" t="s">
        <v>213</v>
      </c>
      <c r="J32" t="str">
        <f t="shared" si="2"/>
        <v>No</v>
      </c>
      <c r="K32" t="s">
        <v>214</v>
      </c>
      <c r="L32" t="str">
        <f t="shared" si="3"/>
        <v>No</v>
      </c>
      <c r="M32" t="s">
        <v>215</v>
      </c>
      <c r="N32" t="str">
        <f t="shared" si="4"/>
        <v>""</v>
      </c>
      <c r="O32" t="s">
        <v>216</v>
      </c>
      <c r="P32" t="str">
        <f t="shared" si="5"/>
        <v>"Central African Republic": { greenCard: "No", schengen: "No", chinesePassport: "No", notes: ""},</v>
      </c>
    </row>
    <row r="33" spans="1:16" ht="15" x14ac:dyDescent="0.2">
      <c r="A33" s="1" t="s">
        <v>30</v>
      </c>
      <c r="F33" t="str">
        <f t="shared" si="0"/>
        <v xml:space="preserve">"Chad": { </v>
      </c>
      <c r="G33" t="s">
        <v>212</v>
      </c>
      <c r="H33" t="str">
        <f t="shared" si="1"/>
        <v>No</v>
      </c>
      <c r="I33" t="s">
        <v>213</v>
      </c>
      <c r="J33" t="str">
        <f t="shared" si="2"/>
        <v>No</v>
      </c>
      <c r="K33" t="s">
        <v>214</v>
      </c>
      <c r="L33" t="str">
        <f t="shared" si="3"/>
        <v>No</v>
      </c>
      <c r="M33" t="s">
        <v>215</v>
      </c>
      <c r="N33" t="str">
        <f t="shared" si="4"/>
        <v>""</v>
      </c>
      <c r="O33" t="s">
        <v>216</v>
      </c>
      <c r="P33" t="str">
        <f t="shared" si="5"/>
        <v>"Chad": { greenCard: "No", schengen: "No", chinesePassport: "No", notes: ""},</v>
      </c>
    </row>
    <row r="34" spans="1:16" ht="15" x14ac:dyDescent="0.2">
      <c r="A34" s="1" t="s">
        <v>31</v>
      </c>
      <c r="F34" t="str">
        <f t="shared" si="0"/>
        <v xml:space="preserve">"Channel Islands": { </v>
      </c>
      <c r="G34" t="s">
        <v>212</v>
      </c>
      <c r="H34" t="str">
        <f t="shared" si="1"/>
        <v>No</v>
      </c>
      <c r="I34" t="s">
        <v>213</v>
      </c>
      <c r="J34" t="str">
        <f t="shared" si="2"/>
        <v>No</v>
      </c>
      <c r="K34" t="s">
        <v>214</v>
      </c>
      <c r="L34" t="str">
        <f t="shared" si="3"/>
        <v>No</v>
      </c>
      <c r="M34" t="s">
        <v>215</v>
      </c>
      <c r="N34" t="str">
        <f t="shared" si="4"/>
        <v>""</v>
      </c>
      <c r="O34" t="s">
        <v>216</v>
      </c>
      <c r="P34" t="str">
        <f t="shared" si="5"/>
        <v>"Channel Islands": { greenCard: "No", schengen: "No", chinesePassport: "No", notes: ""},</v>
      </c>
    </row>
    <row r="35" spans="1:16" ht="15" x14ac:dyDescent="0.2">
      <c r="A35" s="1" t="s">
        <v>32</v>
      </c>
      <c r="D35" s="4">
        <v>1</v>
      </c>
      <c r="F35" t="str">
        <f t="shared" si="0"/>
        <v xml:space="preserve">"Chile": { </v>
      </c>
      <c r="G35" t="s">
        <v>212</v>
      </c>
      <c r="H35" t="str">
        <f t="shared" si="1"/>
        <v>Yes</v>
      </c>
      <c r="I35" t="s">
        <v>213</v>
      </c>
      <c r="J35" t="str">
        <f t="shared" si="2"/>
        <v>No</v>
      </c>
      <c r="K35" t="s">
        <v>214</v>
      </c>
      <c r="L35" t="str">
        <f t="shared" si="3"/>
        <v>No</v>
      </c>
      <c r="M35" t="s">
        <v>215</v>
      </c>
      <c r="N35" t="str">
        <f t="shared" si="4"/>
        <v>""</v>
      </c>
      <c r="O35" t="s">
        <v>216</v>
      </c>
      <c r="P35" t="str">
        <f t="shared" si="5"/>
        <v>"Chile": { greenCard: "Yes", schengen: "No", chinesePassport: "No", notes: ""},</v>
      </c>
    </row>
    <row r="36" spans="1:16" ht="15" x14ac:dyDescent="0.2">
      <c r="A36" s="1" t="s">
        <v>33</v>
      </c>
      <c r="B36" s="2">
        <v>1</v>
      </c>
      <c r="F36" t="str">
        <f t="shared" si="0"/>
        <v xml:space="preserve">"China": { </v>
      </c>
      <c r="G36" t="s">
        <v>212</v>
      </c>
      <c r="H36" t="str">
        <f t="shared" si="1"/>
        <v>No</v>
      </c>
      <c r="I36" t="s">
        <v>213</v>
      </c>
      <c r="J36" t="str">
        <f t="shared" si="2"/>
        <v>No</v>
      </c>
      <c r="K36" t="s">
        <v>214</v>
      </c>
      <c r="L36" t="str">
        <f t="shared" si="3"/>
        <v>Yes</v>
      </c>
      <c r="M36" t="s">
        <v>215</v>
      </c>
      <c r="N36" t="str">
        <f t="shared" si="4"/>
        <v>""</v>
      </c>
      <c r="O36" t="s">
        <v>216</v>
      </c>
      <c r="P36" t="str">
        <f t="shared" si="5"/>
        <v>"China": { greenCard: "No", schengen: "No", chinesePassport: "Yes", notes: ""},</v>
      </c>
    </row>
    <row r="37" spans="1:16" ht="15" x14ac:dyDescent="0.2">
      <c r="A37" s="1" t="s">
        <v>34</v>
      </c>
      <c r="F37" t="str">
        <f t="shared" si="0"/>
        <v xml:space="preserve">"Colombia": { </v>
      </c>
      <c r="G37" t="s">
        <v>212</v>
      </c>
      <c r="H37" t="str">
        <f t="shared" si="1"/>
        <v>No</v>
      </c>
      <c r="I37" t="s">
        <v>213</v>
      </c>
      <c r="J37" t="str">
        <f t="shared" si="2"/>
        <v>No</v>
      </c>
      <c r="K37" t="s">
        <v>214</v>
      </c>
      <c r="L37" t="str">
        <f t="shared" si="3"/>
        <v>No</v>
      </c>
      <c r="M37" t="s">
        <v>215</v>
      </c>
      <c r="N37" t="str">
        <f t="shared" si="4"/>
        <v>""</v>
      </c>
      <c r="O37" t="s">
        <v>216</v>
      </c>
      <c r="P37" t="str">
        <f t="shared" si="5"/>
        <v>"Colombia": { greenCard: "No", schengen: "No", chinesePassport: "No", notes: ""},</v>
      </c>
    </row>
    <row r="38" spans="1:16" ht="15" x14ac:dyDescent="0.2">
      <c r="A38" s="1" t="s">
        <v>35</v>
      </c>
      <c r="E38" s="5">
        <v>1</v>
      </c>
      <c r="F38" t="str">
        <f t="shared" si="0"/>
        <v xml:space="preserve">"Comoros": { </v>
      </c>
      <c r="G38" t="s">
        <v>212</v>
      </c>
      <c r="H38" t="str">
        <f t="shared" si="1"/>
        <v>No</v>
      </c>
      <c r="I38" t="s">
        <v>213</v>
      </c>
      <c r="J38" t="str">
        <f t="shared" si="2"/>
        <v>No</v>
      </c>
      <c r="K38" t="s">
        <v>214</v>
      </c>
      <c r="L38" t="str">
        <f t="shared" si="3"/>
        <v>Yes</v>
      </c>
      <c r="M38" t="s">
        <v>215</v>
      </c>
      <c r="N38" t="str">
        <f t="shared" si="4"/>
        <v>"Visa on Arrival"</v>
      </c>
      <c r="O38" t="s">
        <v>216</v>
      </c>
      <c r="P38" t="str">
        <f t="shared" si="5"/>
        <v>"Comoros": { greenCard: "No", schengen: "No", chinesePassport: "Yes", notes: "Visa on Arrival"},</v>
      </c>
    </row>
    <row r="39" spans="1:16" ht="15" x14ac:dyDescent="0.2">
      <c r="A39" s="1" t="s">
        <v>36</v>
      </c>
      <c r="F39" t="str">
        <f t="shared" si="0"/>
        <v xml:space="preserve">"Congo": { </v>
      </c>
      <c r="G39" t="s">
        <v>212</v>
      </c>
      <c r="H39" t="str">
        <f t="shared" si="1"/>
        <v>No</v>
      </c>
      <c r="I39" t="s">
        <v>213</v>
      </c>
      <c r="J39" t="str">
        <f t="shared" si="2"/>
        <v>No</v>
      </c>
      <c r="K39" t="s">
        <v>214</v>
      </c>
      <c r="L39" t="str">
        <f t="shared" si="3"/>
        <v>No</v>
      </c>
      <c r="M39" t="s">
        <v>215</v>
      </c>
      <c r="N39" t="str">
        <f t="shared" si="4"/>
        <v>""</v>
      </c>
      <c r="O39" t="s">
        <v>216</v>
      </c>
      <c r="P39" t="str">
        <f t="shared" si="5"/>
        <v>"Congo": { greenCard: "No", schengen: "No", chinesePassport: "No", notes: ""},</v>
      </c>
    </row>
    <row r="40" spans="1:16" ht="15" x14ac:dyDescent="0.2">
      <c r="A40" s="1" t="s">
        <v>37</v>
      </c>
      <c r="D40" s="4">
        <v>1</v>
      </c>
      <c r="F40" t="str">
        <f t="shared" si="0"/>
        <v xml:space="preserve">"Costa Rica": { </v>
      </c>
      <c r="G40" t="s">
        <v>212</v>
      </c>
      <c r="H40" t="str">
        <f t="shared" si="1"/>
        <v>Yes</v>
      </c>
      <c r="I40" t="s">
        <v>213</v>
      </c>
      <c r="J40" t="str">
        <f t="shared" si="2"/>
        <v>No</v>
      </c>
      <c r="K40" t="s">
        <v>214</v>
      </c>
      <c r="L40" t="str">
        <f t="shared" si="3"/>
        <v>No</v>
      </c>
      <c r="M40" t="s">
        <v>215</v>
      </c>
      <c r="N40" t="str">
        <f t="shared" si="4"/>
        <v>""</v>
      </c>
      <c r="O40" t="s">
        <v>216</v>
      </c>
      <c r="P40" t="str">
        <f t="shared" si="5"/>
        <v>"Costa Rica": { greenCard: "Yes", schengen: "No", chinesePassport: "No", notes: ""},</v>
      </c>
    </row>
    <row r="41" spans="1:16" ht="15" x14ac:dyDescent="0.2">
      <c r="A41" s="1" t="s">
        <v>38</v>
      </c>
      <c r="F41" t="str">
        <f t="shared" si="0"/>
        <v xml:space="preserve">"Côte d'Ivoire": { </v>
      </c>
      <c r="G41" t="s">
        <v>212</v>
      </c>
      <c r="H41" t="str">
        <f t="shared" si="1"/>
        <v>No</v>
      </c>
      <c r="I41" t="s">
        <v>213</v>
      </c>
      <c r="J41" t="str">
        <f t="shared" si="2"/>
        <v>No</v>
      </c>
      <c r="K41" t="s">
        <v>214</v>
      </c>
      <c r="L41" t="str">
        <f t="shared" si="3"/>
        <v>No</v>
      </c>
      <c r="M41" t="s">
        <v>215</v>
      </c>
      <c r="N41" t="str">
        <f t="shared" si="4"/>
        <v>""</v>
      </c>
      <c r="O41" t="s">
        <v>216</v>
      </c>
      <c r="P41" t="str">
        <f t="shared" si="5"/>
        <v>"Côte d'Ivoire": { greenCard: "No", schengen: "No", chinesePassport: "No", notes: ""},</v>
      </c>
    </row>
    <row r="42" spans="1:16" ht="15" x14ac:dyDescent="0.2">
      <c r="A42" s="1" t="s">
        <v>39</v>
      </c>
      <c r="C42" s="3">
        <v>1</v>
      </c>
      <c r="F42" t="str">
        <f t="shared" si="0"/>
        <v xml:space="preserve">"Croatia": { </v>
      </c>
      <c r="G42" t="s">
        <v>212</v>
      </c>
      <c r="H42" t="str">
        <f t="shared" si="1"/>
        <v>No</v>
      </c>
      <c r="I42" t="s">
        <v>213</v>
      </c>
      <c r="J42" t="str">
        <f t="shared" si="2"/>
        <v>Yes</v>
      </c>
      <c r="K42" t="s">
        <v>214</v>
      </c>
      <c r="L42" t="str">
        <f t="shared" si="3"/>
        <v>No</v>
      </c>
      <c r="M42" t="s">
        <v>215</v>
      </c>
      <c r="N42" t="str">
        <f t="shared" si="4"/>
        <v>""</v>
      </c>
      <c r="O42" t="s">
        <v>216</v>
      </c>
      <c r="P42" t="str">
        <f t="shared" si="5"/>
        <v>"Croatia": { greenCard: "No", schengen: "Yes", chinesePassport: "No", notes: ""},</v>
      </c>
    </row>
    <row r="43" spans="1:16" ht="15" x14ac:dyDescent="0.2">
      <c r="A43" s="1" t="s">
        <v>40</v>
      </c>
      <c r="B43" s="2">
        <v>1</v>
      </c>
      <c r="F43" t="str">
        <f t="shared" si="0"/>
        <v xml:space="preserve">"Cuba": { </v>
      </c>
      <c r="G43" t="s">
        <v>212</v>
      </c>
      <c r="H43" t="str">
        <f t="shared" si="1"/>
        <v>No</v>
      </c>
      <c r="I43" t="s">
        <v>213</v>
      </c>
      <c r="J43" t="str">
        <f t="shared" si="2"/>
        <v>No</v>
      </c>
      <c r="K43" t="s">
        <v>214</v>
      </c>
      <c r="L43" t="str">
        <f t="shared" si="3"/>
        <v>Yes</v>
      </c>
      <c r="M43" t="s">
        <v>215</v>
      </c>
      <c r="N43" t="str">
        <f t="shared" si="4"/>
        <v>""</v>
      </c>
      <c r="O43" t="s">
        <v>216</v>
      </c>
      <c r="P43" t="str">
        <f t="shared" si="5"/>
        <v>"Cuba": { greenCard: "No", schengen: "No", chinesePassport: "Yes", notes: ""},</v>
      </c>
    </row>
    <row r="44" spans="1:16" ht="15" x14ac:dyDescent="0.2">
      <c r="A44" s="1" t="s">
        <v>41</v>
      </c>
      <c r="C44" s="3">
        <v>1</v>
      </c>
      <c r="F44" t="str">
        <f t="shared" si="0"/>
        <v xml:space="preserve">"Cyprus": { </v>
      </c>
      <c r="G44" t="s">
        <v>212</v>
      </c>
      <c r="H44" t="str">
        <f t="shared" si="1"/>
        <v>No</v>
      </c>
      <c r="I44" t="s">
        <v>213</v>
      </c>
      <c r="J44" t="str">
        <f t="shared" si="2"/>
        <v>Yes</v>
      </c>
      <c r="K44" t="s">
        <v>214</v>
      </c>
      <c r="L44" t="str">
        <f t="shared" si="3"/>
        <v>No</v>
      </c>
      <c r="M44" t="s">
        <v>215</v>
      </c>
      <c r="N44" t="str">
        <f t="shared" si="4"/>
        <v>""</v>
      </c>
      <c r="O44" t="s">
        <v>216</v>
      </c>
      <c r="P44" t="str">
        <f t="shared" si="5"/>
        <v>"Cyprus": { greenCard: "No", schengen: "Yes", chinesePassport: "No", notes: ""},</v>
      </c>
    </row>
    <row r="45" spans="1:16" ht="15" x14ac:dyDescent="0.2">
      <c r="A45" s="1" t="s">
        <v>218</v>
      </c>
      <c r="C45" s="3">
        <v>1</v>
      </c>
      <c r="F45" t="str">
        <f t="shared" si="0"/>
        <v xml:space="preserve">"Czech Rep.": { </v>
      </c>
      <c r="G45" t="s">
        <v>212</v>
      </c>
      <c r="H45" t="str">
        <f t="shared" si="1"/>
        <v>No</v>
      </c>
      <c r="I45" t="s">
        <v>213</v>
      </c>
      <c r="J45" t="str">
        <f t="shared" si="2"/>
        <v>Yes</v>
      </c>
      <c r="K45" t="s">
        <v>214</v>
      </c>
      <c r="L45" t="str">
        <f t="shared" si="3"/>
        <v>No</v>
      </c>
      <c r="M45" t="s">
        <v>215</v>
      </c>
      <c r="N45" t="str">
        <f t="shared" si="4"/>
        <v>""</v>
      </c>
      <c r="O45" t="s">
        <v>216</v>
      </c>
      <c r="P45" t="str">
        <f t="shared" si="5"/>
        <v>"Czech Rep.": { greenCard: "No", schengen: "Yes", chinesePassport: "No", notes: ""},</v>
      </c>
    </row>
    <row r="46" spans="1:16" ht="15" x14ac:dyDescent="0.2">
      <c r="A46" s="1" t="s">
        <v>42</v>
      </c>
      <c r="C46" s="3">
        <v>1</v>
      </c>
      <c r="F46" t="str">
        <f t="shared" si="0"/>
        <v xml:space="preserve">"Denmark": { </v>
      </c>
      <c r="G46" t="s">
        <v>212</v>
      </c>
      <c r="H46" t="str">
        <f t="shared" si="1"/>
        <v>No</v>
      </c>
      <c r="I46" t="s">
        <v>213</v>
      </c>
      <c r="J46" t="str">
        <f t="shared" si="2"/>
        <v>Yes</v>
      </c>
      <c r="K46" t="s">
        <v>214</v>
      </c>
      <c r="L46" t="str">
        <f t="shared" si="3"/>
        <v>No</v>
      </c>
      <c r="M46" t="s">
        <v>215</v>
      </c>
      <c r="N46" t="str">
        <f t="shared" si="4"/>
        <v>""</v>
      </c>
      <c r="O46" t="s">
        <v>216</v>
      </c>
      <c r="P46" t="str">
        <f t="shared" si="5"/>
        <v>"Denmark": { greenCard: "No", schengen: "Yes", chinesePassport: "No", notes: ""},</v>
      </c>
    </row>
    <row r="47" spans="1:16" ht="15" x14ac:dyDescent="0.2">
      <c r="A47" s="1" t="s">
        <v>43</v>
      </c>
      <c r="E47" s="5">
        <v>1</v>
      </c>
      <c r="F47" t="str">
        <f t="shared" si="0"/>
        <v xml:space="preserve">"Djibouti": { </v>
      </c>
      <c r="G47" t="s">
        <v>212</v>
      </c>
      <c r="H47" t="str">
        <f t="shared" si="1"/>
        <v>No</v>
      </c>
      <c r="I47" t="s">
        <v>213</v>
      </c>
      <c r="J47" t="str">
        <f t="shared" si="2"/>
        <v>No</v>
      </c>
      <c r="K47" t="s">
        <v>214</v>
      </c>
      <c r="L47" t="str">
        <f t="shared" si="3"/>
        <v>Yes</v>
      </c>
      <c r="M47" t="s">
        <v>215</v>
      </c>
      <c r="N47" t="str">
        <f t="shared" si="4"/>
        <v>"Visa on Arrival"</v>
      </c>
      <c r="O47" t="s">
        <v>216</v>
      </c>
      <c r="P47" t="str">
        <f t="shared" si="5"/>
        <v>"Djibouti": { greenCard: "No", schengen: "No", chinesePassport: "Yes", notes: "Visa on Arrival"},</v>
      </c>
    </row>
    <row r="48" spans="1:16" ht="15" x14ac:dyDescent="0.2">
      <c r="A48" s="1" t="s">
        <v>44</v>
      </c>
      <c r="B48" s="2">
        <v>1</v>
      </c>
      <c r="F48" t="str">
        <f t="shared" si="0"/>
        <v xml:space="preserve">"Dominica": { </v>
      </c>
      <c r="G48" t="s">
        <v>212</v>
      </c>
      <c r="H48" t="str">
        <f t="shared" si="1"/>
        <v>No</v>
      </c>
      <c r="I48" t="s">
        <v>213</v>
      </c>
      <c r="J48" t="str">
        <f t="shared" si="2"/>
        <v>No</v>
      </c>
      <c r="K48" t="s">
        <v>214</v>
      </c>
      <c r="L48" t="str">
        <f t="shared" si="3"/>
        <v>Yes</v>
      </c>
      <c r="M48" t="s">
        <v>215</v>
      </c>
      <c r="N48" t="str">
        <f t="shared" si="4"/>
        <v>""</v>
      </c>
      <c r="O48" t="s">
        <v>216</v>
      </c>
      <c r="P48" t="str">
        <f t="shared" si="5"/>
        <v>"Dominica": { greenCard: "No", schengen: "No", chinesePassport: "Yes", notes: ""},</v>
      </c>
    </row>
    <row r="49" spans="1:16" ht="15" x14ac:dyDescent="0.2">
      <c r="A49" s="1" t="s">
        <v>45</v>
      </c>
      <c r="D49" s="4">
        <v>1</v>
      </c>
      <c r="F49" t="str">
        <f t="shared" si="0"/>
        <v xml:space="preserve">"Dominican Republic": { </v>
      </c>
      <c r="G49" t="s">
        <v>212</v>
      </c>
      <c r="H49" t="str">
        <f t="shared" si="1"/>
        <v>Yes</v>
      </c>
      <c r="I49" t="s">
        <v>213</v>
      </c>
      <c r="J49" t="str">
        <f t="shared" si="2"/>
        <v>No</v>
      </c>
      <c r="K49" t="s">
        <v>214</v>
      </c>
      <c r="L49" t="str">
        <f t="shared" si="3"/>
        <v>No</v>
      </c>
      <c r="M49" t="s">
        <v>215</v>
      </c>
      <c r="N49" t="str">
        <f t="shared" si="4"/>
        <v>""</v>
      </c>
      <c r="O49" t="s">
        <v>216</v>
      </c>
      <c r="P49" t="str">
        <f t="shared" si="5"/>
        <v>"Dominican Republic": { greenCard: "Yes", schengen: "No", chinesePassport: "No", notes: ""},</v>
      </c>
    </row>
    <row r="50" spans="1:16" ht="15" x14ac:dyDescent="0.2">
      <c r="A50" s="1" t="s">
        <v>46</v>
      </c>
      <c r="F50" t="str">
        <f t="shared" si="0"/>
        <v xml:space="preserve">"DR Congo": { </v>
      </c>
      <c r="G50" t="s">
        <v>212</v>
      </c>
      <c r="H50" t="str">
        <f t="shared" si="1"/>
        <v>No</v>
      </c>
      <c r="I50" t="s">
        <v>213</v>
      </c>
      <c r="J50" t="str">
        <f t="shared" si="2"/>
        <v>No</v>
      </c>
      <c r="K50" t="s">
        <v>214</v>
      </c>
      <c r="L50" t="str">
        <f t="shared" si="3"/>
        <v>No</v>
      </c>
      <c r="M50" t="s">
        <v>215</v>
      </c>
      <c r="N50" t="str">
        <f t="shared" si="4"/>
        <v>""</v>
      </c>
      <c r="O50" t="s">
        <v>216</v>
      </c>
      <c r="P50" t="str">
        <f t="shared" si="5"/>
        <v>"DR Congo": { greenCard: "No", schengen: "No", chinesePassport: "No", notes: ""},</v>
      </c>
    </row>
    <row r="51" spans="1:16" ht="15" x14ac:dyDescent="0.2">
      <c r="A51" s="1" t="s">
        <v>47</v>
      </c>
      <c r="F51" t="str">
        <f t="shared" si="0"/>
        <v xml:space="preserve">"Ecuador": { </v>
      </c>
      <c r="G51" t="s">
        <v>212</v>
      </c>
      <c r="H51" t="str">
        <f t="shared" si="1"/>
        <v>No</v>
      </c>
      <c r="I51" t="s">
        <v>213</v>
      </c>
      <c r="J51" t="str">
        <f t="shared" si="2"/>
        <v>No</v>
      </c>
      <c r="K51" t="s">
        <v>214</v>
      </c>
      <c r="L51" t="str">
        <f t="shared" si="3"/>
        <v>No</v>
      </c>
      <c r="M51" t="s">
        <v>215</v>
      </c>
      <c r="N51" t="str">
        <f t="shared" si="4"/>
        <v>""</v>
      </c>
      <c r="O51" t="s">
        <v>216</v>
      </c>
      <c r="P51" t="str">
        <f t="shared" si="5"/>
        <v>"Ecuador": { greenCard: "No", schengen: "No", chinesePassport: "No", notes: ""},</v>
      </c>
    </row>
    <row r="52" spans="1:16" ht="15" x14ac:dyDescent="0.2">
      <c r="A52" s="1" t="s">
        <v>48</v>
      </c>
      <c r="E52" s="5">
        <v>1</v>
      </c>
      <c r="F52" t="str">
        <f t="shared" si="0"/>
        <v xml:space="preserve">"Egypt": { </v>
      </c>
      <c r="G52" t="s">
        <v>212</v>
      </c>
      <c r="H52" t="str">
        <f t="shared" si="1"/>
        <v>No</v>
      </c>
      <c r="I52" t="s">
        <v>213</v>
      </c>
      <c r="J52" t="str">
        <f t="shared" si="2"/>
        <v>No</v>
      </c>
      <c r="K52" t="s">
        <v>214</v>
      </c>
      <c r="L52" t="str">
        <f t="shared" si="3"/>
        <v>Yes</v>
      </c>
      <c r="M52" t="s">
        <v>215</v>
      </c>
      <c r="N52" t="str">
        <f t="shared" si="4"/>
        <v>"Visa on Arrival"</v>
      </c>
      <c r="O52" t="s">
        <v>216</v>
      </c>
      <c r="P52" t="str">
        <f t="shared" si="5"/>
        <v>"Egypt": { greenCard: "No", schengen: "No", chinesePassport: "Yes", notes: "Visa on Arrival"},</v>
      </c>
    </row>
    <row r="53" spans="1:16" ht="15" x14ac:dyDescent="0.2">
      <c r="A53" s="1" t="s">
        <v>49</v>
      </c>
      <c r="F53" t="str">
        <f t="shared" si="0"/>
        <v xml:space="preserve">"El Salvador": { </v>
      </c>
      <c r="G53" t="s">
        <v>212</v>
      </c>
      <c r="H53" t="str">
        <f t="shared" si="1"/>
        <v>No</v>
      </c>
      <c r="I53" t="s">
        <v>213</v>
      </c>
      <c r="J53" t="str">
        <f t="shared" si="2"/>
        <v>No</v>
      </c>
      <c r="K53" t="s">
        <v>214</v>
      </c>
      <c r="L53" t="str">
        <f t="shared" si="3"/>
        <v>No</v>
      </c>
      <c r="M53" t="s">
        <v>215</v>
      </c>
      <c r="N53" t="str">
        <f t="shared" si="4"/>
        <v>""</v>
      </c>
      <c r="O53" t="s">
        <v>216</v>
      </c>
      <c r="P53" t="str">
        <f t="shared" si="5"/>
        <v>"El Salvador": { greenCard: "No", schengen: "No", chinesePassport: "No", notes: ""},</v>
      </c>
    </row>
    <row r="54" spans="1:16" ht="15" x14ac:dyDescent="0.2">
      <c r="A54" s="1" t="s">
        <v>50</v>
      </c>
      <c r="F54" t="str">
        <f t="shared" si="0"/>
        <v xml:space="preserve">"Equatorial Guinea": { </v>
      </c>
      <c r="G54" t="s">
        <v>212</v>
      </c>
      <c r="H54" t="str">
        <f t="shared" si="1"/>
        <v>No</v>
      </c>
      <c r="I54" t="s">
        <v>213</v>
      </c>
      <c r="J54" t="str">
        <f t="shared" si="2"/>
        <v>No</v>
      </c>
      <c r="K54" t="s">
        <v>214</v>
      </c>
      <c r="L54" t="str">
        <f t="shared" si="3"/>
        <v>No</v>
      </c>
      <c r="M54" t="s">
        <v>215</v>
      </c>
      <c r="N54" t="str">
        <f t="shared" si="4"/>
        <v>""</v>
      </c>
      <c r="O54" t="s">
        <v>216</v>
      </c>
      <c r="P54" t="str">
        <f t="shared" si="5"/>
        <v>"Equatorial Guinea": { greenCard: "No", schengen: "No", chinesePassport: "No", notes: ""},</v>
      </c>
    </row>
    <row r="55" spans="1:16" ht="15" x14ac:dyDescent="0.2">
      <c r="A55" s="1" t="s">
        <v>51</v>
      </c>
      <c r="F55" t="str">
        <f t="shared" si="0"/>
        <v xml:space="preserve">"Eritrea": { </v>
      </c>
      <c r="G55" t="s">
        <v>212</v>
      </c>
      <c r="H55" t="str">
        <f t="shared" si="1"/>
        <v>No</v>
      </c>
      <c r="I55" t="s">
        <v>213</v>
      </c>
      <c r="J55" t="str">
        <f t="shared" si="2"/>
        <v>No</v>
      </c>
      <c r="K55" t="s">
        <v>214</v>
      </c>
      <c r="L55" t="str">
        <f t="shared" si="3"/>
        <v>No</v>
      </c>
      <c r="M55" t="s">
        <v>215</v>
      </c>
      <c r="N55" t="str">
        <f t="shared" si="4"/>
        <v>""</v>
      </c>
      <c r="O55" t="s">
        <v>216</v>
      </c>
      <c r="P55" t="str">
        <f t="shared" si="5"/>
        <v>"Eritrea": { greenCard: "No", schengen: "No", chinesePassport: "No", notes: ""},</v>
      </c>
    </row>
    <row r="56" spans="1:16" ht="15" x14ac:dyDescent="0.2">
      <c r="A56" s="1" t="s">
        <v>52</v>
      </c>
      <c r="C56" s="3">
        <v>1</v>
      </c>
      <c r="F56" t="str">
        <f t="shared" si="0"/>
        <v xml:space="preserve">"Estonia": { </v>
      </c>
      <c r="G56" t="s">
        <v>212</v>
      </c>
      <c r="H56" t="str">
        <f t="shared" si="1"/>
        <v>No</v>
      </c>
      <c r="I56" t="s">
        <v>213</v>
      </c>
      <c r="J56" t="str">
        <f t="shared" si="2"/>
        <v>Yes</v>
      </c>
      <c r="K56" t="s">
        <v>214</v>
      </c>
      <c r="L56" t="str">
        <f t="shared" si="3"/>
        <v>No</v>
      </c>
      <c r="M56" t="s">
        <v>215</v>
      </c>
      <c r="N56" t="str">
        <f t="shared" si="4"/>
        <v>""</v>
      </c>
      <c r="O56" t="s">
        <v>216</v>
      </c>
      <c r="P56" t="str">
        <f t="shared" si="5"/>
        <v>"Estonia": { greenCard: "No", schengen: "Yes", chinesePassport: "No", notes: ""},</v>
      </c>
    </row>
    <row r="57" spans="1:16" ht="15" x14ac:dyDescent="0.2">
      <c r="A57" s="1" t="s">
        <v>53</v>
      </c>
      <c r="F57" t="str">
        <f t="shared" si="0"/>
        <v xml:space="preserve">"Eswatini": { </v>
      </c>
      <c r="G57" t="s">
        <v>212</v>
      </c>
      <c r="H57" t="str">
        <f t="shared" si="1"/>
        <v>No</v>
      </c>
      <c r="I57" t="s">
        <v>213</v>
      </c>
      <c r="J57" t="str">
        <f t="shared" si="2"/>
        <v>No</v>
      </c>
      <c r="K57" t="s">
        <v>214</v>
      </c>
      <c r="L57" t="str">
        <f t="shared" si="3"/>
        <v>No</v>
      </c>
      <c r="M57" t="s">
        <v>215</v>
      </c>
      <c r="N57" t="str">
        <f t="shared" si="4"/>
        <v>""</v>
      </c>
      <c r="O57" t="s">
        <v>216</v>
      </c>
      <c r="P57" t="str">
        <f t="shared" si="5"/>
        <v>"Eswatini": { greenCard: "No", schengen: "No", chinesePassport: "No", notes: ""},</v>
      </c>
    </row>
    <row r="58" spans="1:16" ht="15" x14ac:dyDescent="0.2">
      <c r="A58" s="1" t="s">
        <v>54</v>
      </c>
      <c r="E58" s="5">
        <v>1</v>
      </c>
      <c r="F58" t="str">
        <f t="shared" si="0"/>
        <v xml:space="preserve">"Ethiopia": { </v>
      </c>
      <c r="G58" t="s">
        <v>212</v>
      </c>
      <c r="H58" t="str">
        <f t="shared" si="1"/>
        <v>No</v>
      </c>
      <c r="I58" t="s">
        <v>213</v>
      </c>
      <c r="J58" t="str">
        <f t="shared" si="2"/>
        <v>No</v>
      </c>
      <c r="K58" t="s">
        <v>214</v>
      </c>
      <c r="L58" t="str">
        <f t="shared" si="3"/>
        <v>Yes</v>
      </c>
      <c r="M58" t="s">
        <v>215</v>
      </c>
      <c r="N58" t="str">
        <f t="shared" si="4"/>
        <v>"Visa on Arrival"</v>
      </c>
      <c r="O58" t="s">
        <v>216</v>
      </c>
      <c r="P58" t="str">
        <f t="shared" si="5"/>
        <v>"Ethiopia": { greenCard: "No", schengen: "No", chinesePassport: "Yes", notes: "Visa on Arrival"},</v>
      </c>
    </row>
    <row r="59" spans="1:16" ht="15" x14ac:dyDescent="0.2">
      <c r="A59" s="1" t="s">
        <v>55</v>
      </c>
      <c r="F59" t="str">
        <f t="shared" si="0"/>
        <v xml:space="preserve">"Faeroe Islands": { </v>
      </c>
      <c r="G59" t="s">
        <v>212</v>
      </c>
      <c r="H59" t="str">
        <f t="shared" si="1"/>
        <v>No</v>
      </c>
      <c r="I59" t="s">
        <v>213</v>
      </c>
      <c r="J59" t="str">
        <f t="shared" si="2"/>
        <v>No</v>
      </c>
      <c r="K59" t="s">
        <v>214</v>
      </c>
      <c r="L59" t="str">
        <f t="shared" si="3"/>
        <v>No</v>
      </c>
      <c r="M59" t="s">
        <v>215</v>
      </c>
      <c r="N59" t="str">
        <f t="shared" si="4"/>
        <v>""</v>
      </c>
      <c r="O59" t="s">
        <v>216</v>
      </c>
      <c r="P59" t="str">
        <f t="shared" si="5"/>
        <v>"Faeroe Islands": { greenCard: "No", schengen: "No", chinesePassport: "No", notes: ""},</v>
      </c>
    </row>
    <row r="60" spans="1:16" ht="15" x14ac:dyDescent="0.2">
      <c r="A60" s="1" t="s">
        <v>56</v>
      </c>
      <c r="C60" s="3">
        <v>1</v>
      </c>
      <c r="F60" t="str">
        <f t="shared" si="0"/>
        <v xml:space="preserve">"Finland": { </v>
      </c>
      <c r="G60" t="s">
        <v>212</v>
      </c>
      <c r="H60" t="str">
        <f t="shared" si="1"/>
        <v>No</v>
      </c>
      <c r="I60" t="s">
        <v>213</v>
      </c>
      <c r="J60" t="str">
        <f t="shared" si="2"/>
        <v>Yes</v>
      </c>
      <c r="K60" t="s">
        <v>214</v>
      </c>
      <c r="L60" t="str">
        <f t="shared" si="3"/>
        <v>No</v>
      </c>
      <c r="M60" t="s">
        <v>215</v>
      </c>
      <c r="N60" t="str">
        <f t="shared" si="4"/>
        <v>""</v>
      </c>
      <c r="O60" t="s">
        <v>216</v>
      </c>
      <c r="P60" t="str">
        <f t="shared" si="5"/>
        <v>"Finland": { greenCard: "No", schengen: "Yes", chinesePassport: "No", notes: ""},</v>
      </c>
    </row>
    <row r="61" spans="1:16" ht="15" x14ac:dyDescent="0.2">
      <c r="A61" s="1" t="s">
        <v>57</v>
      </c>
      <c r="C61" s="3">
        <v>1</v>
      </c>
      <c r="F61" t="str">
        <f t="shared" si="0"/>
        <v xml:space="preserve">"France": { </v>
      </c>
      <c r="G61" t="s">
        <v>212</v>
      </c>
      <c r="H61" t="str">
        <f t="shared" si="1"/>
        <v>No</v>
      </c>
      <c r="I61" t="s">
        <v>213</v>
      </c>
      <c r="J61" t="str">
        <f t="shared" si="2"/>
        <v>Yes</v>
      </c>
      <c r="K61" t="s">
        <v>214</v>
      </c>
      <c r="L61" t="str">
        <f t="shared" si="3"/>
        <v>No</v>
      </c>
      <c r="M61" t="s">
        <v>215</v>
      </c>
      <c r="N61" t="str">
        <f t="shared" si="4"/>
        <v>""</v>
      </c>
      <c r="O61" t="s">
        <v>216</v>
      </c>
      <c r="P61" t="str">
        <f t="shared" si="5"/>
        <v>"France": { greenCard: "No", schengen: "Yes", chinesePassport: "No", notes: ""},</v>
      </c>
    </row>
    <row r="62" spans="1:16" ht="15" x14ac:dyDescent="0.2">
      <c r="A62" s="1" t="s">
        <v>58</v>
      </c>
      <c r="F62" t="str">
        <f t="shared" si="0"/>
        <v xml:space="preserve">"French Guiana": { </v>
      </c>
      <c r="G62" t="s">
        <v>212</v>
      </c>
      <c r="H62" t="str">
        <f t="shared" si="1"/>
        <v>No</v>
      </c>
      <c r="I62" t="s">
        <v>213</v>
      </c>
      <c r="J62" t="str">
        <f t="shared" si="2"/>
        <v>No</v>
      </c>
      <c r="K62" t="s">
        <v>214</v>
      </c>
      <c r="L62" t="str">
        <f t="shared" si="3"/>
        <v>No</v>
      </c>
      <c r="M62" t="s">
        <v>215</v>
      </c>
      <c r="N62" t="str">
        <f t="shared" si="4"/>
        <v>""</v>
      </c>
      <c r="O62" t="s">
        <v>216</v>
      </c>
      <c r="P62" t="str">
        <f t="shared" si="5"/>
        <v>"French Guiana": { greenCard: "No", schengen: "No", chinesePassport: "No", notes: ""},</v>
      </c>
    </row>
    <row r="63" spans="1:16" ht="15" x14ac:dyDescent="0.2">
      <c r="A63" s="1" t="s">
        <v>59</v>
      </c>
      <c r="F63" t="str">
        <f t="shared" si="0"/>
        <v xml:space="preserve">"Gabon": { </v>
      </c>
      <c r="G63" t="s">
        <v>212</v>
      </c>
      <c r="H63" t="str">
        <f t="shared" si="1"/>
        <v>No</v>
      </c>
      <c r="I63" t="s">
        <v>213</v>
      </c>
      <c r="J63" t="str">
        <f t="shared" si="2"/>
        <v>No</v>
      </c>
      <c r="K63" t="s">
        <v>214</v>
      </c>
      <c r="L63" t="str">
        <f t="shared" si="3"/>
        <v>No</v>
      </c>
      <c r="M63" t="s">
        <v>215</v>
      </c>
      <c r="N63" t="str">
        <f t="shared" si="4"/>
        <v>""</v>
      </c>
      <c r="O63" t="s">
        <v>216</v>
      </c>
      <c r="P63" t="str">
        <f t="shared" si="5"/>
        <v>"Gabon": { greenCard: "No", schengen: "No", chinesePassport: "No", notes: ""},</v>
      </c>
    </row>
    <row r="64" spans="1:16" ht="15" x14ac:dyDescent="0.2">
      <c r="A64" s="1" t="s">
        <v>60</v>
      </c>
      <c r="F64" t="str">
        <f t="shared" si="0"/>
        <v xml:space="preserve">"Gambia": { </v>
      </c>
      <c r="G64" t="s">
        <v>212</v>
      </c>
      <c r="H64" t="str">
        <f t="shared" si="1"/>
        <v>No</v>
      </c>
      <c r="I64" t="s">
        <v>213</v>
      </c>
      <c r="J64" t="str">
        <f t="shared" si="2"/>
        <v>No</v>
      </c>
      <c r="K64" t="s">
        <v>214</v>
      </c>
      <c r="L64" t="str">
        <f t="shared" si="3"/>
        <v>No</v>
      </c>
      <c r="M64" t="s">
        <v>215</v>
      </c>
      <c r="N64" t="str">
        <f t="shared" si="4"/>
        <v>""</v>
      </c>
      <c r="O64" t="s">
        <v>216</v>
      </c>
      <c r="P64" t="str">
        <f t="shared" si="5"/>
        <v>"Gambia": { greenCard: "No", schengen: "No", chinesePassport: "No", notes: ""},</v>
      </c>
    </row>
    <row r="65" spans="1:16" ht="15" x14ac:dyDescent="0.2">
      <c r="A65" s="1" t="s">
        <v>61</v>
      </c>
      <c r="B65" s="2">
        <v>1</v>
      </c>
      <c r="D65" s="4">
        <v>1</v>
      </c>
      <c r="F65" t="str">
        <f t="shared" si="0"/>
        <v xml:space="preserve">"Georgia": { </v>
      </c>
      <c r="G65" t="s">
        <v>212</v>
      </c>
      <c r="H65" t="str">
        <f t="shared" si="1"/>
        <v>Yes</v>
      </c>
      <c r="I65" t="s">
        <v>213</v>
      </c>
      <c r="J65" t="str">
        <f t="shared" si="2"/>
        <v>No</v>
      </c>
      <c r="K65" t="s">
        <v>214</v>
      </c>
      <c r="L65" t="str">
        <f t="shared" si="3"/>
        <v>Yes</v>
      </c>
      <c r="M65" t="s">
        <v>215</v>
      </c>
      <c r="N65" t="str">
        <f t="shared" si="4"/>
        <v>""</v>
      </c>
      <c r="O65" t="s">
        <v>216</v>
      </c>
      <c r="P65" t="str">
        <f t="shared" si="5"/>
        <v>"Georgia": { greenCard: "Yes", schengen: "No", chinesePassport: "Yes", notes: ""},</v>
      </c>
    </row>
    <row r="66" spans="1:16" ht="15" x14ac:dyDescent="0.2">
      <c r="A66" s="1" t="s">
        <v>62</v>
      </c>
      <c r="C66" s="3">
        <v>1</v>
      </c>
      <c r="F66" t="str">
        <f t="shared" si="0"/>
        <v xml:space="preserve">"Germany": { </v>
      </c>
      <c r="G66" t="s">
        <v>212</v>
      </c>
      <c r="H66" t="str">
        <f t="shared" si="1"/>
        <v>No</v>
      </c>
      <c r="I66" t="s">
        <v>213</v>
      </c>
      <c r="J66" t="str">
        <f t="shared" si="2"/>
        <v>Yes</v>
      </c>
      <c r="K66" t="s">
        <v>214</v>
      </c>
      <c r="L66" t="str">
        <f t="shared" si="3"/>
        <v>No</v>
      </c>
      <c r="M66" t="s">
        <v>215</v>
      </c>
      <c r="N66" t="str">
        <f t="shared" si="4"/>
        <v>""</v>
      </c>
      <c r="O66" t="s">
        <v>216</v>
      </c>
      <c r="P66" t="str">
        <f t="shared" si="5"/>
        <v>"Germany": { greenCard: "No", schengen: "Yes", chinesePassport: "No", notes: ""},</v>
      </c>
    </row>
    <row r="67" spans="1:16" ht="15" x14ac:dyDescent="0.2">
      <c r="A67" s="1" t="s">
        <v>63</v>
      </c>
      <c r="F67" t="str">
        <f t="shared" ref="F67:F130" si="6">""""&amp;A67&amp;""": { "</f>
        <v xml:space="preserve">"Ghana": { </v>
      </c>
      <c r="G67" t="s">
        <v>212</v>
      </c>
      <c r="H67" t="str">
        <f t="shared" ref="H67:H130" si="7">IF(D67=1,"Yes","No")</f>
        <v>No</v>
      </c>
      <c r="I67" t="s">
        <v>213</v>
      </c>
      <c r="J67" t="str">
        <f t="shared" ref="J67:J130" si="8">IF(C67=1,"Yes","No")</f>
        <v>No</v>
      </c>
      <c r="K67" t="s">
        <v>214</v>
      </c>
      <c r="L67" t="str">
        <f t="shared" ref="L67:L130" si="9">IF(OR(B67=1,E67=1),"Yes","No")</f>
        <v>No</v>
      </c>
      <c r="M67" t="s">
        <v>215</v>
      </c>
      <c r="N67" t="str">
        <f t="shared" ref="N67:N130" si="10">IF(E67=1,"""Visa on Arrival""","""""")</f>
        <v>""</v>
      </c>
      <c r="O67" t="s">
        <v>216</v>
      </c>
      <c r="P67" t="str">
        <f t="shared" ref="P67:P130" si="11">_xlfn.CONCAT(F67:O67)</f>
        <v>"Ghana": { greenCard: "No", schengen: "No", chinesePassport: "No", notes: ""},</v>
      </c>
    </row>
    <row r="68" spans="1:16" ht="15" x14ac:dyDescent="0.2">
      <c r="A68" s="1" t="s">
        <v>64</v>
      </c>
      <c r="F68" t="str">
        <f t="shared" si="6"/>
        <v xml:space="preserve">"Gibraltar": { </v>
      </c>
      <c r="G68" t="s">
        <v>212</v>
      </c>
      <c r="H68" t="str">
        <f t="shared" si="7"/>
        <v>No</v>
      </c>
      <c r="I68" t="s">
        <v>213</v>
      </c>
      <c r="J68" t="str">
        <f t="shared" si="8"/>
        <v>No</v>
      </c>
      <c r="K68" t="s">
        <v>214</v>
      </c>
      <c r="L68" t="str">
        <f t="shared" si="9"/>
        <v>No</v>
      </c>
      <c r="M68" t="s">
        <v>215</v>
      </c>
      <c r="N68" t="str">
        <f t="shared" si="10"/>
        <v>""</v>
      </c>
      <c r="O68" t="s">
        <v>216</v>
      </c>
      <c r="P68" t="str">
        <f t="shared" si="11"/>
        <v>"Gibraltar": { greenCard: "No", schengen: "No", chinesePassport: "No", notes: ""},</v>
      </c>
    </row>
    <row r="69" spans="1:16" ht="15" x14ac:dyDescent="0.2">
      <c r="A69" s="1" t="s">
        <v>65</v>
      </c>
      <c r="C69" s="3">
        <v>1</v>
      </c>
      <c r="F69" t="str">
        <f t="shared" si="6"/>
        <v xml:space="preserve">"Greece": { </v>
      </c>
      <c r="G69" t="s">
        <v>212</v>
      </c>
      <c r="H69" t="str">
        <f t="shared" si="7"/>
        <v>No</v>
      </c>
      <c r="I69" t="s">
        <v>213</v>
      </c>
      <c r="J69" t="str">
        <f t="shared" si="8"/>
        <v>Yes</v>
      </c>
      <c r="K69" t="s">
        <v>214</v>
      </c>
      <c r="L69" t="str">
        <f t="shared" si="9"/>
        <v>No</v>
      </c>
      <c r="M69" t="s">
        <v>215</v>
      </c>
      <c r="N69" t="str">
        <f t="shared" si="10"/>
        <v>""</v>
      </c>
      <c r="O69" t="s">
        <v>216</v>
      </c>
      <c r="P69" t="str">
        <f t="shared" si="11"/>
        <v>"Greece": { greenCard: "No", schengen: "Yes", chinesePassport: "No", notes: ""},</v>
      </c>
    </row>
    <row r="70" spans="1:16" ht="15" x14ac:dyDescent="0.2">
      <c r="A70" s="1" t="s">
        <v>66</v>
      </c>
      <c r="B70" s="2">
        <v>1</v>
      </c>
      <c r="F70" t="str">
        <f t="shared" si="6"/>
        <v xml:space="preserve">"Grenada": { </v>
      </c>
      <c r="G70" t="s">
        <v>212</v>
      </c>
      <c r="H70" t="str">
        <f t="shared" si="7"/>
        <v>No</v>
      </c>
      <c r="I70" t="s">
        <v>213</v>
      </c>
      <c r="J70" t="str">
        <f t="shared" si="8"/>
        <v>No</v>
      </c>
      <c r="K70" t="s">
        <v>214</v>
      </c>
      <c r="L70" t="str">
        <f t="shared" si="9"/>
        <v>Yes</v>
      </c>
      <c r="M70" t="s">
        <v>215</v>
      </c>
      <c r="N70" t="str">
        <f t="shared" si="10"/>
        <v>""</v>
      </c>
      <c r="O70" t="s">
        <v>216</v>
      </c>
      <c r="P70" t="str">
        <f t="shared" si="11"/>
        <v>"Grenada": { greenCard: "No", schengen: "No", chinesePassport: "Yes", notes: ""},</v>
      </c>
    </row>
    <row r="71" spans="1:16" ht="15" x14ac:dyDescent="0.2">
      <c r="A71" s="1" t="s">
        <v>67</v>
      </c>
      <c r="F71" t="str">
        <f t="shared" si="6"/>
        <v xml:space="preserve">"Guatemala": { </v>
      </c>
      <c r="G71" t="s">
        <v>212</v>
      </c>
      <c r="H71" t="str">
        <f t="shared" si="7"/>
        <v>No</v>
      </c>
      <c r="I71" t="s">
        <v>213</v>
      </c>
      <c r="J71" t="str">
        <f t="shared" si="8"/>
        <v>No</v>
      </c>
      <c r="K71" t="s">
        <v>214</v>
      </c>
      <c r="L71" t="str">
        <f t="shared" si="9"/>
        <v>No</v>
      </c>
      <c r="M71" t="s">
        <v>215</v>
      </c>
      <c r="N71" t="str">
        <f t="shared" si="10"/>
        <v>""</v>
      </c>
      <c r="O71" t="s">
        <v>216</v>
      </c>
      <c r="P71" t="str">
        <f t="shared" si="11"/>
        <v>"Guatemala": { greenCard: "No", schengen: "No", chinesePassport: "No", notes: ""},</v>
      </c>
    </row>
    <row r="72" spans="1:16" ht="15" x14ac:dyDescent="0.2">
      <c r="A72" s="1" t="s">
        <v>68</v>
      </c>
      <c r="F72" t="str">
        <f t="shared" si="6"/>
        <v xml:space="preserve">"Guinea": { </v>
      </c>
      <c r="G72" t="s">
        <v>212</v>
      </c>
      <c r="H72" t="str">
        <f t="shared" si="7"/>
        <v>No</v>
      </c>
      <c r="I72" t="s">
        <v>213</v>
      </c>
      <c r="J72" t="str">
        <f t="shared" si="8"/>
        <v>No</v>
      </c>
      <c r="K72" t="s">
        <v>214</v>
      </c>
      <c r="L72" t="str">
        <f t="shared" si="9"/>
        <v>No</v>
      </c>
      <c r="M72" t="s">
        <v>215</v>
      </c>
      <c r="N72" t="str">
        <f t="shared" si="10"/>
        <v>""</v>
      </c>
      <c r="O72" t="s">
        <v>216</v>
      </c>
      <c r="P72" t="str">
        <f t="shared" si="11"/>
        <v>"Guinea": { greenCard: "No", schengen: "No", chinesePassport: "No", notes: ""},</v>
      </c>
    </row>
    <row r="73" spans="1:16" ht="15" x14ac:dyDescent="0.2">
      <c r="A73" s="1" t="s">
        <v>69</v>
      </c>
      <c r="E73" s="5">
        <v>1</v>
      </c>
      <c r="F73" t="str">
        <f t="shared" si="6"/>
        <v xml:space="preserve">"Guinea-Bissau": { </v>
      </c>
      <c r="G73" t="s">
        <v>212</v>
      </c>
      <c r="H73" t="str">
        <f t="shared" si="7"/>
        <v>No</v>
      </c>
      <c r="I73" t="s">
        <v>213</v>
      </c>
      <c r="J73" t="str">
        <f t="shared" si="8"/>
        <v>No</v>
      </c>
      <c r="K73" t="s">
        <v>214</v>
      </c>
      <c r="L73" t="str">
        <f t="shared" si="9"/>
        <v>Yes</v>
      </c>
      <c r="M73" t="s">
        <v>215</v>
      </c>
      <c r="N73" t="str">
        <f t="shared" si="10"/>
        <v>"Visa on Arrival"</v>
      </c>
      <c r="O73" t="s">
        <v>216</v>
      </c>
      <c r="P73" t="str">
        <f t="shared" si="11"/>
        <v>"Guinea-Bissau": { greenCard: "No", schengen: "No", chinesePassport: "Yes", notes: "Visa on Arrival"},</v>
      </c>
    </row>
    <row r="74" spans="1:16" ht="15" x14ac:dyDescent="0.2">
      <c r="A74" s="1" t="s">
        <v>70</v>
      </c>
      <c r="F74" t="str">
        <f t="shared" si="6"/>
        <v xml:space="preserve">"Guyana": { </v>
      </c>
      <c r="G74" t="s">
        <v>212</v>
      </c>
      <c r="H74" t="str">
        <f t="shared" si="7"/>
        <v>No</v>
      </c>
      <c r="I74" t="s">
        <v>213</v>
      </c>
      <c r="J74" t="str">
        <f t="shared" si="8"/>
        <v>No</v>
      </c>
      <c r="K74" t="s">
        <v>214</v>
      </c>
      <c r="L74" t="str">
        <f t="shared" si="9"/>
        <v>No</v>
      </c>
      <c r="M74" t="s">
        <v>215</v>
      </c>
      <c r="N74" t="str">
        <f t="shared" si="10"/>
        <v>""</v>
      </c>
      <c r="O74" t="s">
        <v>216</v>
      </c>
      <c r="P74" t="str">
        <f t="shared" si="11"/>
        <v>"Guyana": { greenCard: "No", schengen: "No", chinesePassport: "No", notes: ""},</v>
      </c>
    </row>
    <row r="75" spans="1:16" ht="15" x14ac:dyDescent="0.2">
      <c r="A75" s="1" t="s">
        <v>71</v>
      </c>
      <c r="B75" s="2">
        <v>1</v>
      </c>
      <c r="F75" t="str">
        <f t="shared" si="6"/>
        <v xml:space="preserve">"Haiti": { </v>
      </c>
      <c r="G75" t="s">
        <v>212</v>
      </c>
      <c r="H75" t="str">
        <f t="shared" si="7"/>
        <v>No</v>
      </c>
      <c r="I75" t="s">
        <v>213</v>
      </c>
      <c r="J75" t="str">
        <f t="shared" si="8"/>
        <v>No</v>
      </c>
      <c r="K75" t="s">
        <v>214</v>
      </c>
      <c r="L75" t="str">
        <f t="shared" si="9"/>
        <v>Yes</v>
      </c>
      <c r="M75" t="s">
        <v>215</v>
      </c>
      <c r="N75" t="str">
        <f t="shared" si="10"/>
        <v>""</v>
      </c>
      <c r="O75" t="s">
        <v>216</v>
      </c>
      <c r="P75" t="str">
        <f t="shared" si="11"/>
        <v>"Haiti": { greenCard: "No", schengen: "No", chinesePassport: "Yes", notes: ""},</v>
      </c>
    </row>
    <row r="76" spans="1:16" ht="15" x14ac:dyDescent="0.2">
      <c r="A76" s="1" t="s">
        <v>72</v>
      </c>
      <c r="F76" t="str">
        <f t="shared" si="6"/>
        <v xml:space="preserve">"Holy See": { </v>
      </c>
      <c r="G76" t="s">
        <v>212</v>
      </c>
      <c r="H76" t="str">
        <f t="shared" si="7"/>
        <v>No</v>
      </c>
      <c r="I76" t="s">
        <v>213</v>
      </c>
      <c r="J76" t="str">
        <f t="shared" si="8"/>
        <v>No</v>
      </c>
      <c r="K76" t="s">
        <v>214</v>
      </c>
      <c r="L76" t="str">
        <f t="shared" si="9"/>
        <v>No</v>
      </c>
      <c r="M76" t="s">
        <v>215</v>
      </c>
      <c r="N76" t="str">
        <f t="shared" si="10"/>
        <v>""</v>
      </c>
      <c r="O76" t="s">
        <v>216</v>
      </c>
      <c r="P76" t="str">
        <f t="shared" si="11"/>
        <v>"Holy See": { greenCard: "No", schengen: "No", chinesePassport: "No", notes: ""},</v>
      </c>
    </row>
    <row r="77" spans="1:16" ht="15" x14ac:dyDescent="0.2">
      <c r="A77" s="1" t="s">
        <v>73</v>
      </c>
      <c r="F77" t="str">
        <f t="shared" si="6"/>
        <v xml:space="preserve">"Honduras": { </v>
      </c>
      <c r="G77" t="s">
        <v>212</v>
      </c>
      <c r="H77" t="str">
        <f t="shared" si="7"/>
        <v>No</v>
      </c>
      <c r="I77" t="s">
        <v>213</v>
      </c>
      <c r="J77" t="str">
        <f t="shared" si="8"/>
        <v>No</v>
      </c>
      <c r="K77" t="s">
        <v>214</v>
      </c>
      <c r="L77" t="str">
        <f t="shared" si="9"/>
        <v>No</v>
      </c>
      <c r="M77" t="s">
        <v>215</v>
      </c>
      <c r="N77" t="str">
        <f t="shared" si="10"/>
        <v>""</v>
      </c>
      <c r="O77" t="s">
        <v>216</v>
      </c>
      <c r="P77" t="str">
        <f t="shared" si="11"/>
        <v>"Honduras": { greenCard: "No", schengen: "No", chinesePassport: "No", notes: ""},</v>
      </c>
    </row>
    <row r="78" spans="1:16" ht="15" x14ac:dyDescent="0.2">
      <c r="A78" s="1" t="s">
        <v>74</v>
      </c>
      <c r="F78" t="str">
        <f t="shared" si="6"/>
        <v xml:space="preserve">"Hong Kong": { </v>
      </c>
      <c r="G78" t="s">
        <v>212</v>
      </c>
      <c r="H78" t="str">
        <f t="shared" si="7"/>
        <v>No</v>
      </c>
      <c r="I78" t="s">
        <v>213</v>
      </c>
      <c r="J78" t="str">
        <f t="shared" si="8"/>
        <v>No</v>
      </c>
      <c r="K78" t="s">
        <v>214</v>
      </c>
      <c r="L78" t="str">
        <f t="shared" si="9"/>
        <v>No</v>
      </c>
      <c r="M78" t="s">
        <v>215</v>
      </c>
      <c r="N78" t="str">
        <f t="shared" si="10"/>
        <v>""</v>
      </c>
      <c r="O78" t="s">
        <v>216</v>
      </c>
      <c r="P78" t="str">
        <f t="shared" si="11"/>
        <v>"Hong Kong": { greenCard: "No", schengen: "No", chinesePassport: "No", notes: ""},</v>
      </c>
    </row>
    <row r="79" spans="1:16" ht="15" x14ac:dyDescent="0.2">
      <c r="A79" s="1" t="s">
        <v>75</v>
      </c>
      <c r="C79" s="3">
        <v>1</v>
      </c>
      <c r="F79" t="str">
        <f t="shared" si="6"/>
        <v xml:space="preserve">"Hungary": { </v>
      </c>
      <c r="G79" t="s">
        <v>212</v>
      </c>
      <c r="H79" t="str">
        <f t="shared" si="7"/>
        <v>No</v>
      </c>
      <c r="I79" t="s">
        <v>213</v>
      </c>
      <c r="J79" t="str">
        <f t="shared" si="8"/>
        <v>Yes</v>
      </c>
      <c r="K79" t="s">
        <v>214</v>
      </c>
      <c r="L79" t="str">
        <f t="shared" si="9"/>
        <v>No</v>
      </c>
      <c r="M79" t="s">
        <v>215</v>
      </c>
      <c r="N79" t="str">
        <f t="shared" si="10"/>
        <v>""</v>
      </c>
      <c r="O79" t="s">
        <v>216</v>
      </c>
      <c r="P79" t="str">
        <f t="shared" si="11"/>
        <v>"Hungary": { greenCard: "No", schengen: "Yes", chinesePassport: "No", notes: ""},</v>
      </c>
    </row>
    <row r="80" spans="1:16" ht="15" x14ac:dyDescent="0.2">
      <c r="A80" s="1" t="s">
        <v>76</v>
      </c>
      <c r="C80" s="3">
        <v>1</v>
      </c>
      <c r="F80" t="str">
        <f t="shared" si="6"/>
        <v xml:space="preserve">"Iceland": { </v>
      </c>
      <c r="G80" t="s">
        <v>212</v>
      </c>
      <c r="H80" t="str">
        <f t="shared" si="7"/>
        <v>No</v>
      </c>
      <c r="I80" t="s">
        <v>213</v>
      </c>
      <c r="J80" t="str">
        <f t="shared" si="8"/>
        <v>Yes</v>
      </c>
      <c r="K80" t="s">
        <v>214</v>
      </c>
      <c r="L80" t="str">
        <f t="shared" si="9"/>
        <v>No</v>
      </c>
      <c r="M80" t="s">
        <v>215</v>
      </c>
      <c r="N80" t="str">
        <f t="shared" si="10"/>
        <v>""</v>
      </c>
      <c r="O80" t="s">
        <v>216</v>
      </c>
      <c r="P80" t="str">
        <f t="shared" si="11"/>
        <v>"Iceland": { greenCard: "No", schengen: "Yes", chinesePassport: "No", notes: ""},</v>
      </c>
    </row>
    <row r="81" spans="1:16" ht="15" x14ac:dyDescent="0.2">
      <c r="A81" s="1" t="s">
        <v>77</v>
      </c>
      <c r="F81" t="str">
        <f t="shared" si="6"/>
        <v xml:space="preserve">"India": { </v>
      </c>
      <c r="G81" t="s">
        <v>212</v>
      </c>
      <c r="H81" t="str">
        <f t="shared" si="7"/>
        <v>No</v>
      </c>
      <c r="I81" t="s">
        <v>213</v>
      </c>
      <c r="J81" t="str">
        <f t="shared" si="8"/>
        <v>No</v>
      </c>
      <c r="K81" t="s">
        <v>214</v>
      </c>
      <c r="L81" t="str">
        <f t="shared" si="9"/>
        <v>No</v>
      </c>
      <c r="M81" t="s">
        <v>215</v>
      </c>
      <c r="N81" t="str">
        <f t="shared" si="10"/>
        <v>""</v>
      </c>
      <c r="O81" t="s">
        <v>216</v>
      </c>
      <c r="P81" t="str">
        <f t="shared" si="11"/>
        <v>"India": { greenCard: "No", schengen: "No", chinesePassport: "No", notes: ""},</v>
      </c>
    </row>
    <row r="82" spans="1:16" ht="15" x14ac:dyDescent="0.2">
      <c r="A82" s="1" t="s">
        <v>78</v>
      </c>
      <c r="E82" s="5">
        <v>1</v>
      </c>
      <c r="F82" t="str">
        <f t="shared" si="6"/>
        <v xml:space="preserve">"Indonesia": { </v>
      </c>
      <c r="G82" t="s">
        <v>212</v>
      </c>
      <c r="H82" t="str">
        <f t="shared" si="7"/>
        <v>No</v>
      </c>
      <c r="I82" t="s">
        <v>213</v>
      </c>
      <c r="J82" t="str">
        <f t="shared" si="8"/>
        <v>No</v>
      </c>
      <c r="K82" t="s">
        <v>214</v>
      </c>
      <c r="L82" t="str">
        <f t="shared" si="9"/>
        <v>Yes</v>
      </c>
      <c r="M82" t="s">
        <v>215</v>
      </c>
      <c r="N82" t="str">
        <f t="shared" si="10"/>
        <v>"Visa on Arrival"</v>
      </c>
      <c r="O82" t="s">
        <v>216</v>
      </c>
      <c r="P82" t="str">
        <f t="shared" si="11"/>
        <v>"Indonesia": { greenCard: "No", schengen: "No", chinesePassport: "Yes", notes: "Visa on Arrival"},</v>
      </c>
    </row>
    <row r="83" spans="1:16" ht="15" x14ac:dyDescent="0.2">
      <c r="A83" s="1" t="s">
        <v>79</v>
      </c>
      <c r="B83" s="2">
        <v>1</v>
      </c>
      <c r="F83" t="str">
        <f t="shared" si="6"/>
        <v xml:space="preserve">"Iran": { </v>
      </c>
      <c r="G83" t="s">
        <v>212</v>
      </c>
      <c r="H83" t="str">
        <f t="shared" si="7"/>
        <v>No</v>
      </c>
      <c r="I83" t="s">
        <v>213</v>
      </c>
      <c r="J83" t="str">
        <f t="shared" si="8"/>
        <v>No</v>
      </c>
      <c r="K83" t="s">
        <v>214</v>
      </c>
      <c r="L83" t="str">
        <f t="shared" si="9"/>
        <v>Yes</v>
      </c>
      <c r="M83" t="s">
        <v>215</v>
      </c>
      <c r="N83" t="str">
        <f t="shared" si="10"/>
        <v>""</v>
      </c>
      <c r="O83" t="s">
        <v>216</v>
      </c>
      <c r="P83" t="str">
        <f t="shared" si="11"/>
        <v>"Iran": { greenCard: "No", schengen: "No", chinesePassport: "Yes", notes: ""},</v>
      </c>
    </row>
    <row r="84" spans="1:16" ht="15" x14ac:dyDescent="0.2">
      <c r="A84" s="1" t="s">
        <v>80</v>
      </c>
      <c r="F84" t="str">
        <f t="shared" si="6"/>
        <v xml:space="preserve">"Iraq": { </v>
      </c>
      <c r="G84" t="s">
        <v>212</v>
      </c>
      <c r="H84" t="str">
        <f t="shared" si="7"/>
        <v>No</v>
      </c>
      <c r="I84" t="s">
        <v>213</v>
      </c>
      <c r="J84" t="str">
        <f t="shared" si="8"/>
        <v>No</v>
      </c>
      <c r="K84" t="s">
        <v>214</v>
      </c>
      <c r="L84" t="str">
        <f t="shared" si="9"/>
        <v>No</v>
      </c>
      <c r="M84" t="s">
        <v>215</v>
      </c>
      <c r="N84" t="str">
        <f t="shared" si="10"/>
        <v>""</v>
      </c>
      <c r="O84" t="s">
        <v>216</v>
      </c>
      <c r="P84" t="str">
        <f t="shared" si="11"/>
        <v>"Iraq": { greenCard: "No", schengen: "No", chinesePassport: "No", notes: ""},</v>
      </c>
    </row>
    <row r="85" spans="1:16" ht="15" x14ac:dyDescent="0.2">
      <c r="A85" s="1" t="s">
        <v>81</v>
      </c>
      <c r="F85" t="str">
        <f t="shared" si="6"/>
        <v xml:space="preserve">"Ireland": { </v>
      </c>
      <c r="G85" t="s">
        <v>212</v>
      </c>
      <c r="H85" t="str">
        <f t="shared" si="7"/>
        <v>No</v>
      </c>
      <c r="I85" t="s">
        <v>213</v>
      </c>
      <c r="J85" t="str">
        <f t="shared" si="8"/>
        <v>No</v>
      </c>
      <c r="K85" t="s">
        <v>214</v>
      </c>
      <c r="L85" t="str">
        <f t="shared" si="9"/>
        <v>No</v>
      </c>
      <c r="M85" t="s">
        <v>215</v>
      </c>
      <c r="N85" t="str">
        <f t="shared" si="10"/>
        <v>""</v>
      </c>
      <c r="O85" t="s">
        <v>216</v>
      </c>
      <c r="P85" t="str">
        <f t="shared" si="11"/>
        <v>"Ireland": { greenCard: "No", schengen: "No", chinesePassport: "No", notes: ""},</v>
      </c>
    </row>
    <row r="86" spans="1:16" ht="15" x14ac:dyDescent="0.2">
      <c r="A86" s="1" t="s">
        <v>82</v>
      </c>
      <c r="F86" t="str">
        <f t="shared" si="6"/>
        <v xml:space="preserve">"Isle of Man": { </v>
      </c>
      <c r="G86" t="s">
        <v>212</v>
      </c>
      <c r="H86" t="str">
        <f t="shared" si="7"/>
        <v>No</v>
      </c>
      <c r="I86" t="s">
        <v>213</v>
      </c>
      <c r="J86" t="str">
        <f t="shared" si="8"/>
        <v>No</v>
      </c>
      <c r="K86" t="s">
        <v>214</v>
      </c>
      <c r="L86" t="str">
        <f t="shared" si="9"/>
        <v>No</v>
      </c>
      <c r="M86" t="s">
        <v>215</v>
      </c>
      <c r="N86" t="str">
        <f t="shared" si="10"/>
        <v>""</v>
      </c>
      <c r="O86" t="s">
        <v>216</v>
      </c>
      <c r="P86" t="str">
        <f t="shared" si="11"/>
        <v>"Isle of Man": { greenCard: "No", schengen: "No", chinesePassport: "No", notes: ""},</v>
      </c>
    </row>
    <row r="87" spans="1:16" ht="15" x14ac:dyDescent="0.2">
      <c r="A87" s="1" t="s">
        <v>83</v>
      </c>
      <c r="F87" t="str">
        <f t="shared" si="6"/>
        <v xml:space="preserve">"Israel": { </v>
      </c>
      <c r="G87" t="s">
        <v>212</v>
      </c>
      <c r="H87" t="str">
        <f t="shared" si="7"/>
        <v>No</v>
      </c>
      <c r="I87" t="s">
        <v>213</v>
      </c>
      <c r="J87" t="str">
        <f t="shared" si="8"/>
        <v>No</v>
      </c>
      <c r="K87" t="s">
        <v>214</v>
      </c>
      <c r="L87" t="str">
        <f t="shared" si="9"/>
        <v>No</v>
      </c>
      <c r="M87" t="s">
        <v>215</v>
      </c>
      <c r="N87" t="str">
        <f t="shared" si="10"/>
        <v>""</v>
      </c>
      <c r="O87" t="s">
        <v>216</v>
      </c>
      <c r="P87" t="str">
        <f t="shared" si="11"/>
        <v>"Israel": { greenCard: "No", schengen: "No", chinesePassport: "No", notes: ""},</v>
      </c>
    </row>
    <row r="88" spans="1:16" ht="15" x14ac:dyDescent="0.2">
      <c r="A88" s="1" t="s">
        <v>84</v>
      </c>
      <c r="C88" s="3">
        <v>1</v>
      </c>
      <c r="F88" t="str">
        <f t="shared" si="6"/>
        <v xml:space="preserve">"Italy": { </v>
      </c>
      <c r="G88" t="s">
        <v>212</v>
      </c>
      <c r="H88" t="str">
        <f t="shared" si="7"/>
        <v>No</v>
      </c>
      <c r="I88" t="s">
        <v>213</v>
      </c>
      <c r="J88" t="str">
        <f t="shared" si="8"/>
        <v>Yes</v>
      </c>
      <c r="K88" t="s">
        <v>214</v>
      </c>
      <c r="L88" t="str">
        <f t="shared" si="9"/>
        <v>No</v>
      </c>
      <c r="M88" t="s">
        <v>215</v>
      </c>
      <c r="N88" t="str">
        <f t="shared" si="10"/>
        <v>""</v>
      </c>
      <c r="O88" t="s">
        <v>216</v>
      </c>
      <c r="P88" t="str">
        <f t="shared" si="11"/>
        <v>"Italy": { greenCard: "No", schengen: "Yes", chinesePassport: "No", notes: ""},</v>
      </c>
    </row>
    <row r="89" spans="1:16" ht="15" x14ac:dyDescent="0.2">
      <c r="A89" s="1" t="s">
        <v>85</v>
      </c>
      <c r="B89" s="2">
        <v>1</v>
      </c>
      <c r="F89" t="str">
        <f t="shared" si="6"/>
        <v xml:space="preserve">"Jamaica": { </v>
      </c>
      <c r="G89" t="s">
        <v>212</v>
      </c>
      <c r="H89" t="str">
        <f t="shared" si="7"/>
        <v>No</v>
      </c>
      <c r="I89" t="s">
        <v>213</v>
      </c>
      <c r="J89" t="str">
        <f t="shared" si="8"/>
        <v>No</v>
      </c>
      <c r="K89" t="s">
        <v>214</v>
      </c>
      <c r="L89" t="str">
        <f t="shared" si="9"/>
        <v>Yes</v>
      </c>
      <c r="M89" t="s">
        <v>215</v>
      </c>
      <c r="N89" t="str">
        <f t="shared" si="10"/>
        <v>""</v>
      </c>
      <c r="O89" t="s">
        <v>216</v>
      </c>
      <c r="P89" t="str">
        <f t="shared" si="11"/>
        <v>"Jamaica": { greenCard: "No", schengen: "No", chinesePassport: "Yes", notes: ""},</v>
      </c>
    </row>
    <row r="90" spans="1:16" ht="15" x14ac:dyDescent="0.2">
      <c r="A90" s="1" t="s">
        <v>86</v>
      </c>
      <c r="F90" t="str">
        <f t="shared" si="6"/>
        <v xml:space="preserve">"Japan": { </v>
      </c>
      <c r="G90" t="s">
        <v>212</v>
      </c>
      <c r="H90" t="str">
        <f t="shared" si="7"/>
        <v>No</v>
      </c>
      <c r="I90" t="s">
        <v>213</v>
      </c>
      <c r="J90" t="str">
        <f t="shared" si="8"/>
        <v>No</v>
      </c>
      <c r="K90" t="s">
        <v>214</v>
      </c>
      <c r="L90" t="str">
        <f t="shared" si="9"/>
        <v>No</v>
      </c>
      <c r="M90" t="s">
        <v>215</v>
      </c>
      <c r="N90" t="str">
        <f t="shared" si="10"/>
        <v>""</v>
      </c>
      <c r="O90" t="s">
        <v>216</v>
      </c>
      <c r="P90" t="str">
        <f t="shared" si="11"/>
        <v>"Japan": { greenCard: "No", schengen: "No", chinesePassport: "No", notes: ""},</v>
      </c>
    </row>
    <row r="91" spans="1:16" ht="15" x14ac:dyDescent="0.2">
      <c r="A91" s="1" t="s">
        <v>87</v>
      </c>
      <c r="E91" s="5">
        <v>1</v>
      </c>
      <c r="F91" t="str">
        <f t="shared" si="6"/>
        <v xml:space="preserve">"Jordan": { </v>
      </c>
      <c r="G91" t="s">
        <v>212</v>
      </c>
      <c r="H91" t="str">
        <f t="shared" si="7"/>
        <v>No</v>
      </c>
      <c r="I91" t="s">
        <v>213</v>
      </c>
      <c r="J91" t="str">
        <f t="shared" si="8"/>
        <v>No</v>
      </c>
      <c r="K91" t="s">
        <v>214</v>
      </c>
      <c r="L91" t="str">
        <f t="shared" si="9"/>
        <v>Yes</v>
      </c>
      <c r="M91" t="s">
        <v>215</v>
      </c>
      <c r="N91" t="str">
        <f t="shared" si="10"/>
        <v>"Visa on Arrival"</v>
      </c>
      <c r="O91" t="s">
        <v>216</v>
      </c>
      <c r="P91" t="str">
        <f t="shared" si="11"/>
        <v>"Jordan": { greenCard: "No", schengen: "No", chinesePassport: "Yes", notes: "Visa on Arrival"},</v>
      </c>
    </row>
    <row r="92" spans="1:16" ht="15" x14ac:dyDescent="0.2">
      <c r="A92" s="1" t="s">
        <v>88</v>
      </c>
      <c r="B92" s="2">
        <v>1</v>
      </c>
      <c r="F92" t="str">
        <f t="shared" si="6"/>
        <v xml:space="preserve">"Kazakhstan": { </v>
      </c>
      <c r="G92" t="s">
        <v>212</v>
      </c>
      <c r="H92" t="str">
        <f t="shared" si="7"/>
        <v>No</v>
      </c>
      <c r="I92" t="s">
        <v>213</v>
      </c>
      <c r="J92" t="str">
        <f t="shared" si="8"/>
        <v>No</v>
      </c>
      <c r="K92" t="s">
        <v>214</v>
      </c>
      <c r="L92" t="str">
        <f t="shared" si="9"/>
        <v>Yes</v>
      </c>
      <c r="M92" t="s">
        <v>215</v>
      </c>
      <c r="N92" t="str">
        <f t="shared" si="10"/>
        <v>""</v>
      </c>
      <c r="O92" t="s">
        <v>216</v>
      </c>
      <c r="P92" t="str">
        <f t="shared" si="11"/>
        <v>"Kazakhstan": { greenCard: "No", schengen: "No", chinesePassport: "Yes", notes: ""},</v>
      </c>
    </row>
    <row r="93" spans="1:16" ht="15" x14ac:dyDescent="0.2">
      <c r="A93" s="1" t="s">
        <v>89</v>
      </c>
      <c r="F93" t="str">
        <f t="shared" si="6"/>
        <v xml:space="preserve">"Kenya": { </v>
      </c>
      <c r="G93" t="s">
        <v>212</v>
      </c>
      <c r="H93" t="str">
        <f t="shared" si="7"/>
        <v>No</v>
      </c>
      <c r="I93" t="s">
        <v>213</v>
      </c>
      <c r="J93" t="str">
        <f t="shared" si="8"/>
        <v>No</v>
      </c>
      <c r="K93" t="s">
        <v>214</v>
      </c>
      <c r="L93" t="str">
        <f t="shared" si="9"/>
        <v>No</v>
      </c>
      <c r="M93" t="s">
        <v>215</v>
      </c>
      <c r="N93" t="str">
        <f t="shared" si="10"/>
        <v>""</v>
      </c>
      <c r="O93" t="s">
        <v>216</v>
      </c>
      <c r="P93" t="str">
        <f t="shared" si="11"/>
        <v>"Kenya": { greenCard: "No", schengen: "No", chinesePassport: "No", notes: ""},</v>
      </c>
    </row>
    <row r="94" spans="1:16" ht="15" x14ac:dyDescent="0.2">
      <c r="A94" s="1" t="s">
        <v>90</v>
      </c>
      <c r="F94" t="str">
        <f t="shared" si="6"/>
        <v xml:space="preserve">"Kuwait": { </v>
      </c>
      <c r="G94" t="s">
        <v>212</v>
      </c>
      <c r="H94" t="str">
        <f t="shared" si="7"/>
        <v>No</v>
      </c>
      <c r="I94" t="s">
        <v>213</v>
      </c>
      <c r="J94" t="str">
        <f t="shared" si="8"/>
        <v>No</v>
      </c>
      <c r="K94" t="s">
        <v>214</v>
      </c>
      <c r="L94" t="str">
        <f t="shared" si="9"/>
        <v>No</v>
      </c>
      <c r="M94" t="s">
        <v>215</v>
      </c>
      <c r="N94" t="str">
        <f t="shared" si="10"/>
        <v>""</v>
      </c>
      <c r="O94" t="s">
        <v>216</v>
      </c>
      <c r="P94" t="str">
        <f t="shared" si="11"/>
        <v>"Kuwait": { greenCard: "No", schengen: "No", chinesePassport: "No", notes: ""},</v>
      </c>
    </row>
    <row r="95" spans="1:16" ht="15" x14ac:dyDescent="0.2">
      <c r="A95" s="1" t="s">
        <v>91</v>
      </c>
      <c r="F95" t="str">
        <f t="shared" si="6"/>
        <v xml:space="preserve">"Kyrgyzstan": { </v>
      </c>
      <c r="G95" t="s">
        <v>212</v>
      </c>
      <c r="H95" t="str">
        <f t="shared" si="7"/>
        <v>No</v>
      </c>
      <c r="I95" t="s">
        <v>213</v>
      </c>
      <c r="J95" t="str">
        <f t="shared" si="8"/>
        <v>No</v>
      </c>
      <c r="K95" t="s">
        <v>214</v>
      </c>
      <c r="L95" t="str">
        <f t="shared" si="9"/>
        <v>No</v>
      </c>
      <c r="M95" t="s">
        <v>215</v>
      </c>
      <c r="N95" t="str">
        <f t="shared" si="10"/>
        <v>""</v>
      </c>
      <c r="O95" t="s">
        <v>216</v>
      </c>
      <c r="P95" t="str">
        <f t="shared" si="11"/>
        <v>"Kyrgyzstan": { greenCard: "No", schengen: "No", chinesePassport: "No", notes: ""},</v>
      </c>
    </row>
    <row r="96" spans="1:16" ht="15" x14ac:dyDescent="0.2">
      <c r="A96" s="1" t="s">
        <v>92</v>
      </c>
      <c r="E96" s="5">
        <v>1</v>
      </c>
      <c r="F96" t="str">
        <f t="shared" si="6"/>
        <v xml:space="preserve">"Laos": { </v>
      </c>
      <c r="G96" t="s">
        <v>212</v>
      </c>
      <c r="H96" t="str">
        <f t="shared" si="7"/>
        <v>No</v>
      </c>
      <c r="I96" t="s">
        <v>213</v>
      </c>
      <c r="J96" t="str">
        <f t="shared" si="8"/>
        <v>No</v>
      </c>
      <c r="K96" t="s">
        <v>214</v>
      </c>
      <c r="L96" t="str">
        <f t="shared" si="9"/>
        <v>Yes</v>
      </c>
      <c r="M96" t="s">
        <v>215</v>
      </c>
      <c r="N96" t="str">
        <f t="shared" si="10"/>
        <v>"Visa on Arrival"</v>
      </c>
      <c r="O96" t="s">
        <v>216</v>
      </c>
      <c r="P96" t="str">
        <f t="shared" si="11"/>
        <v>"Laos": { greenCard: "No", schengen: "No", chinesePassport: "Yes", notes: "Visa on Arrival"},</v>
      </c>
    </row>
    <row r="97" spans="1:16" ht="15" x14ac:dyDescent="0.2">
      <c r="A97" s="1" t="s">
        <v>93</v>
      </c>
      <c r="C97" s="3">
        <v>1</v>
      </c>
      <c r="F97" t="str">
        <f t="shared" si="6"/>
        <v xml:space="preserve">"Latvia": { </v>
      </c>
      <c r="G97" t="s">
        <v>212</v>
      </c>
      <c r="H97" t="str">
        <f t="shared" si="7"/>
        <v>No</v>
      </c>
      <c r="I97" t="s">
        <v>213</v>
      </c>
      <c r="J97" t="str">
        <f t="shared" si="8"/>
        <v>Yes</v>
      </c>
      <c r="K97" t="s">
        <v>214</v>
      </c>
      <c r="L97" t="str">
        <f t="shared" si="9"/>
        <v>No</v>
      </c>
      <c r="M97" t="s">
        <v>215</v>
      </c>
      <c r="N97" t="str">
        <f t="shared" si="10"/>
        <v>""</v>
      </c>
      <c r="O97" t="s">
        <v>216</v>
      </c>
      <c r="P97" t="str">
        <f t="shared" si="11"/>
        <v>"Latvia": { greenCard: "No", schengen: "Yes", chinesePassport: "No", notes: ""},</v>
      </c>
    </row>
    <row r="98" spans="1:16" ht="15" x14ac:dyDescent="0.2">
      <c r="A98" s="1" t="s">
        <v>94</v>
      </c>
      <c r="E98" s="5">
        <v>1</v>
      </c>
      <c r="F98" t="str">
        <f t="shared" si="6"/>
        <v xml:space="preserve">"Lebanon": { </v>
      </c>
      <c r="G98" t="s">
        <v>212</v>
      </c>
      <c r="H98" t="str">
        <f t="shared" si="7"/>
        <v>No</v>
      </c>
      <c r="I98" t="s">
        <v>213</v>
      </c>
      <c r="J98" t="str">
        <f t="shared" si="8"/>
        <v>No</v>
      </c>
      <c r="K98" t="s">
        <v>214</v>
      </c>
      <c r="L98" t="str">
        <f t="shared" si="9"/>
        <v>Yes</v>
      </c>
      <c r="M98" t="s">
        <v>215</v>
      </c>
      <c r="N98" t="str">
        <f t="shared" si="10"/>
        <v>"Visa on Arrival"</v>
      </c>
      <c r="O98" t="s">
        <v>216</v>
      </c>
      <c r="P98" t="str">
        <f t="shared" si="11"/>
        <v>"Lebanon": { greenCard: "No", schengen: "No", chinesePassport: "Yes", notes: "Visa on Arrival"},</v>
      </c>
    </row>
    <row r="99" spans="1:16" ht="15" x14ac:dyDescent="0.2">
      <c r="A99" s="1" t="s">
        <v>95</v>
      </c>
      <c r="F99" t="str">
        <f t="shared" si="6"/>
        <v xml:space="preserve">"Lesotho": { </v>
      </c>
      <c r="G99" t="s">
        <v>212</v>
      </c>
      <c r="H99" t="str">
        <f t="shared" si="7"/>
        <v>No</v>
      </c>
      <c r="I99" t="s">
        <v>213</v>
      </c>
      <c r="J99" t="str">
        <f t="shared" si="8"/>
        <v>No</v>
      </c>
      <c r="K99" t="s">
        <v>214</v>
      </c>
      <c r="L99" t="str">
        <f t="shared" si="9"/>
        <v>No</v>
      </c>
      <c r="M99" t="s">
        <v>215</v>
      </c>
      <c r="N99" t="str">
        <f t="shared" si="10"/>
        <v>""</v>
      </c>
      <c r="O99" t="s">
        <v>216</v>
      </c>
      <c r="P99" t="str">
        <f t="shared" si="11"/>
        <v>"Lesotho": { greenCard: "No", schengen: "No", chinesePassport: "No", notes: ""},</v>
      </c>
    </row>
    <row r="100" spans="1:16" ht="15" x14ac:dyDescent="0.2">
      <c r="A100" s="1" t="s">
        <v>96</v>
      </c>
      <c r="F100" t="str">
        <f t="shared" si="6"/>
        <v xml:space="preserve">"Liberia": { </v>
      </c>
      <c r="G100" t="s">
        <v>212</v>
      </c>
      <c r="H100" t="str">
        <f t="shared" si="7"/>
        <v>No</v>
      </c>
      <c r="I100" t="s">
        <v>213</v>
      </c>
      <c r="J100" t="str">
        <f t="shared" si="8"/>
        <v>No</v>
      </c>
      <c r="K100" t="s">
        <v>214</v>
      </c>
      <c r="L100" t="str">
        <f t="shared" si="9"/>
        <v>No</v>
      </c>
      <c r="M100" t="s">
        <v>215</v>
      </c>
      <c r="N100" t="str">
        <f t="shared" si="10"/>
        <v>""</v>
      </c>
      <c r="O100" t="s">
        <v>216</v>
      </c>
      <c r="P100" t="str">
        <f t="shared" si="11"/>
        <v>"Liberia": { greenCard: "No", schengen: "No", chinesePassport: "No", notes: ""},</v>
      </c>
    </row>
    <row r="101" spans="1:16" ht="15" x14ac:dyDescent="0.2">
      <c r="A101" s="1" t="s">
        <v>97</v>
      </c>
      <c r="F101" t="str">
        <f t="shared" si="6"/>
        <v xml:space="preserve">"Libya": { </v>
      </c>
      <c r="G101" t="s">
        <v>212</v>
      </c>
      <c r="H101" t="str">
        <f t="shared" si="7"/>
        <v>No</v>
      </c>
      <c r="I101" t="s">
        <v>213</v>
      </c>
      <c r="J101" t="str">
        <f t="shared" si="8"/>
        <v>No</v>
      </c>
      <c r="K101" t="s">
        <v>214</v>
      </c>
      <c r="L101" t="str">
        <f t="shared" si="9"/>
        <v>No</v>
      </c>
      <c r="M101" t="s">
        <v>215</v>
      </c>
      <c r="N101" t="str">
        <f t="shared" si="10"/>
        <v>""</v>
      </c>
      <c r="O101" t="s">
        <v>216</v>
      </c>
      <c r="P101" t="str">
        <f t="shared" si="11"/>
        <v>"Libya": { greenCard: "No", schengen: "No", chinesePassport: "No", notes: ""},</v>
      </c>
    </row>
    <row r="102" spans="1:16" ht="15" x14ac:dyDescent="0.2">
      <c r="A102" s="1" t="s">
        <v>98</v>
      </c>
      <c r="C102" s="3">
        <v>1</v>
      </c>
      <c r="F102" t="str">
        <f t="shared" si="6"/>
        <v xml:space="preserve">"Liechtenstein": { </v>
      </c>
      <c r="G102" t="s">
        <v>212</v>
      </c>
      <c r="H102" t="str">
        <f t="shared" si="7"/>
        <v>No</v>
      </c>
      <c r="I102" t="s">
        <v>213</v>
      </c>
      <c r="J102" t="str">
        <f t="shared" si="8"/>
        <v>Yes</v>
      </c>
      <c r="K102" t="s">
        <v>214</v>
      </c>
      <c r="L102" t="str">
        <f t="shared" si="9"/>
        <v>No</v>
      </c>
      <c r="M102" t="s">
        <v>215</v>
      </c>
      <c r="N102" t="str">
        <f t="shared" si="10"/>
        <v>""</v>
      </c>
      <c r="O102" t="s">
        <v>216</v>
      </c>
      <c r="P102" t="str">
        <f t="shared" si="11"/>
        <v>"Liechtenstein": { greenCard: "No", schengen: "Yes", chinesePassport: "No", notes: ""},</v>
      </c>
    </row>
    <row r="103" spans="1:16" ht="15" x14ac:dyDescent="0.2">
      <c r="A103" s="1" t="s">
        <v>99</v>
      </c>
      <c r="C103" s="3">
        <v>1</v>
      </c>
      <c r="F103" t="str">
        <f t="shared" si="6"/>
        <v xml:space="preserve">"Lithuania": { </v>
      </c>
      <c r="G103" t="s">
        <v>212</v>
      </c>
      <c r="H103" t="str">
        <f t="shared" si="7"/>
        <v>No</v>
      </c>
      <c r="I103" t="s">
        <v>213</v>
      </c>
      <c r="J103" t="str">
        <f t="shared" si="8"/>
        <v>Yes</v>
      </c>
      <c r="K103" t="s">
        <v>214</v>
      </c>
      <c r="L103" t="str">
        <f t="shared" si="9"/>
        <v>No</v>
      </c>
      <c r="M103" t="s">
        <v>215</v>
      </c>
      <c r="N103" t="str">
        <f t="shared" si="10"/>
        <v>""</v>
      </c>
      <c r="O103" t="s">
        <v>216</v>
      </c>
      <c r="P103" t="str">
        <f t="shared" si="11"/>
        <v>"Lithuania": { greenCard: "No", schengen: "Yes", chinesePassport: "No", notes: ""},</v>
      </c>
    </row>
    <row r="104" spans="1:16" ht="15" x14ac:dyDescent="0.2">
      <c r="A104" s="1" t="s">
        <v>100</v>
      </c>
      <c r="C104" s="3">
        <v>1</v>
      </c>
      <c r="F104" t="str">
        <f t="shared" si="6"/>
        <v xml:space="preserve">"Luxembourg": { </v>
      </c>
      <c r="G104" t="s">
        <v>212</v>
      </c>
      <c r="H104" t="str">
        <f t="shared" si="7"/>
        <v>No</v>
      </c>
      <c r="I104" t="s">
        <v>213</v>
      </c>
      <c r="J104" t="str">
        <f t="shared" si="8"/>
        <v>Yes</v>
      </c>
      <c r="K104" t="s">
        <v>214</v>
      </c>
      <c r="L104" t="str">
        <f t="shared" si="9"/>
        <v>No</v>
      </c>
      <c r="M104" t="s">
        <v>215</v>
      </c>
      <c r="N104" t="str">
        <f t="shared" si="10"/>
        <v>""</v>
      </c>
      <c r="O104" t="s">
        <v>216</v>
      </c>
      <c r="P104" t="str">
        <f t="shared" si="11"/>
        <v>"Luxembourg": { greenCard: "No", schengen: "Yes", chinesePassport: "No", notes: ""},</v>
      </c>
    </row>
    <row r="105" spans="1:16" ht="15" x14ac:dyDescent="0.2">
      <c r="A105" s="1" t="s">
        <v>101</v>
      </c>
      <c r="F105" t="str">
        <f t="shared" si="6"/>
        <v xml:space="preserve">"Macao": { </v>
      </c>
      <c r="G105" t="s">
        <v>212</v>
      </c>
      <c r="H105" t="str">
        <f t="shared" si="7"/>
        <v>No</v>
      </c>
      <c r="I105" t="s">
        <v>213</v>
      </c>
      <c r="J105" t="str">
        <f t="shared" si="8"/>
        <v>No</v>
      </c>
      <c r="K105" t="s">
        <v>214</v>
      </c>
      <c r="L105" t="str">
        <f t="shared" si="9"/>
        <v>No</v>
      </c>
      <c r="M105" t="s">
        <v>215</v>
      </c>
      <c r="N105" t="str">
        <f t="shared" si="10"/>
        <v>""</v>
      </c>
      <c r="O105" t="s">
        <v>216</v>
      </c>
      <c r="P105" t="str">
        <f t="shared" si="11"/>
        <v>"Macao": { greenCard: "No", schengen: "No", chinesePassport: "No", notes: ""},</v>
      </c>
    </row>
    <row r="106" spans="1:16" ht="15" x14ac:dyDescent="0.2">
      <c r="A106" s="1" t="s">
        <v>102</v>
      </c>
      <c r="E106" s="5">
        <v>1</v>
      </c>
      <c r="F106" t="str">
        <f t="shared" si="6"/>
        <v xml:space="preserve">"Madagascar": { </v>
      </c>
      <c r="G106" t="s">
        <v>212</v>
      </c>
      <c r="H106" t="str">
        <f t="shared" si="7"/>
        <v>No</v>
      </c>
      <c r="I106" t="s">
        <v>213</v>
      </c>
      <c r="J106" t="str">
        <f t="shared" si="8"/>
        <v>No</v>
      </c>
      <c r="K106" t="s">
        <v>214</v>
      </c>
      <c r="L106" t="str">
        <f t="shared" si="9"/>
        <v>Yes</v>
      </c>
      <c r="M106" t="s">
        <v>215</v>
      </c>
      <c r="N106" t="str">
        <f t="shared" si="10"/>
        <v>"Visa on Arrival"</v>
      </c>
      <c r="O106" t="s">
        <v>216</v>
      </c>
      <c r="P106" t="str">
        <f t="shared" si="11"/>
        <v>"Madagascar": { greenCard: "No", schengen: "No", chinesePassport: "Yes", notes: "Visa on Arrival"},</v>
      </c>
    </row>
    <row r="107" spans="1:16" ht="15" x14ac:dyDescent="0.2">
      <c r="A107" s="1" t="s">
        <v>103</v>
      </c>
      <c r="B107" s="2">
        <v>1</v>
      </c>
      <c r="F107" t="str">
        <f t="shared" si="6"/>
        <v xml:space="preserve">"Malawi": { </v>
      </c>
      <c r="G107" t="s">
        <v>212</v>
      </c>
      <c r="H107" t="str">
        <f t="shared" si="7"/>
        <v>No</v>
      </c>
      <c r="I107" t="s">
        <v>213</v>
      </c>
      <c r="J107" t="str">
        <f t="shared" si="8"/>
        <v>No</v>
      </c>
      <c r="K107" t="s">
        <v>214</v>
      </c>
      <c r="L107" t="str">
        <f t="shared" si="9"/>
        <v>Yes</v>
      </c>
      <c r="M107" t="s">
        <v>215</v>
      </c>
      <c r="N107" t="str">
        <f t="shared" si="10"/>
        <v>""</v>
      </c>
      <c r="O107" t="s">
        <v>216</v>
      </c>
      <c r="P107" t="str">
        <f t="shared" si="11"/>
        <v>"Malawi": { greenCard: "No", schengen: "No", chinesePassport: "Yes", notes: ""},</v>
      </c>
    </row>
    <row r="108" spans="1:16" ht="15" x14ac:dyDescent="0.2">
      <c r="A108" s="1" t="s">
        <v>104</v>
      </c>
      <c r="B108" s="2">
        <v>1</v>
      </c>
      <c r="F108" t="str">
        <f t="shared" si="6"/>
        <v xml:space="preserve">"Malaysia": { </v>
      </c>
      <c r="G108" t="s">
        <v>212</v>
      </c>
      <c r="H108" t="str">
        <f t="shared" si="7"/>
        <v>No</v>
      </c>
      <c r="I108" t="s">
        <v>213</v>
      </c>
      <c r="J108" t="str">
        <f t="shared" si="8"/>
        <v>No</v>
      </c>
      <c r="K108" t="s">
        <v>214</v>
      </c>
      <c r="L108" t="str">
        <f t="shared" si="9"/>
        <v>Yes</v>
      </c>
      <c r="M108" t="s">
        <v>215</v>
      </c>
      <c r="N108" t="str">
        <f t="shared" si="10"/>
        <v>""</v>
      </c>
      <c r="O108" t="s">
        <v>216</v>
      </c>
      <c r="P108" t="str">
        <f t="shared" si="11"/>
        <v>"Malaysia": { greenCard: "No", schengen: "No", chinesePassport: "Yes", notes: ""},</v>
      </c>
    </row>
    <row r="109" spans="1:16" ht="15" x14ac:dyDescent="0.2">
      <c r="A109" s="1" t="s">
        <v>105</v>
      </c>
      <c r="B109" s="2">
        <v>1</v>
      </c>
      <c r="F109" t="str">
        <f t="shared" si="6"/>
        <v xml:space="preserve">"Maldives": { </v>
      </c>
      <c r="G109" t="s">
        <v>212</v>
      </c>
      <c r="H109" t="str">
        <f t="shared" si="7"/>
        <v>No</v>
      </c>
      <c r="I109" t="s">
        <v>213</v>
      </c>
      <c r="J109" t="str">
        <f t="shared" si="8"/>
        <v>No</v>
      </c>
      <c r="K109" t="s">
        <v>214</v>
      </c>
      <c r="L109" t="str">
        <f t="shared" si="9"/>
        <v>Yes</v>
      </c>
      <c r="M109" t="s">
        <v>215</v>
      </c>
      <c r="N109" t="str">
        <f t="shared" si="10"/>
        <v>""</v>
      </c>
      <c r="O109" t="s">
        <v>216</v>
      </c>
      <c r="P109" t="str">
        <f t="shared" si="11"/>
        <v>"Maldives": { greenCard: "No", schengen: "No", chinesePassport: "Yes", notes: ""},</v>
      </c>
    </row>
    <row r="110" spans="1:16" ht="15" x14ac:dyDescent="0.2">
      <c r="A110" s="1" t="s">
        <v>106</v>
      </c>
      <c r="F110" t="str">
        <f t="shared" si="6"/>
        <v xml:space="preserve">"Mali": { </v>
      </c>
      <c r="G110" t="s">
        <v>212</v>
      </c>
      <c r="H110" t="str">
        <f t="shared" si="7"/>
        <v>No</v>
      </c>
      <c r="I110" t="s">
        <v>213</v>
      </c>
      <c r="J110" t="str">
        <f t="shared" si="8"/>
        <v>No</v>
      </c>
      <c r="K110" t="s">
        <v>214</v>
      </c>
      <c r="L110" t="str">
        <f t="shared" si="9"/>
        <v>No</v>
      </c>
      <c r="M110" t="s">
        <v>215</v>
      </c>
      <c r="N110" t="str">
        <f t="shared" si="10"/>
        <v>""</v>
      </c>
      <c r="O110" t="s">
        <v>216</v>
      </c>
      <c r="P110" t="str">
        <f t="shared" si="11"/>
        <v>"Mali": { greenCard: "No", schengen: "No", chinesePassport: "No", notes: ""},</v>
      </c>
    </row>
    <row r="111" spans="1:16" ht="15" x14ac:dyDescent="0.2">
      <c r="A111" s="1" t="s">
        <v>107</v>
      </c>
      <c r="C111" s="3">
        <v>1</v>
      </c>
      <c r="F111" t="str">
        <f t="shared" si="6"/>
        <v xml:space="preserve">"Malta": { </v>
      </c>
      <c r="G111" t="s">
        <v>212</v>
      </c>
      <c r="H111" t="str">
        <f t="shared" si="7"/>
        <v>No</v>
      </c>
      <c r="I111" t="s">
        <v>213</v>
      </c>
      <c r="J111" t="str">
        <f t="shared" si="8"/>
        <v>Yes</v>
      </c>
      <c r="K111" t="s">
        <v>214</v>
      </c>
      <c r="L111" t="str">
        <f t="shared" si="9"/>
        <v>No</v>
      </c>
      <c r="M111" t="s">
        <v>215</v>
      </c>
      <c r="N111" t="str">
        <f t="shared" si="10"/>
        <v>""</v>
      </c>
      <c r="O111" t="s">
        <v>216</v>
      </c>
      <c r="P111" t="str">
        <f t="shared" si="11"/>
        <v>"Malta": { greenCard: "No", schengen: "Yes", chinesePassport: "No", notes: ""},</v>
      </c>
    </row>
    <row r="112" spans="1:16" ht="15" x14ac:dyDescent="0.2">
      <c r="A112" s="1" t="s">
        <v>108</v>
      </c>
      <c r="F112" t="str">
        <f t="shared" si="6"/>
        <v xml:space="preserve">"Mauritania": { </v>
      </c>
      <c r="G112" t="s">
        <v>212</v>
      </c>
      <c r="H112" t="str">
        <f t="shared" si="7"/>
        <v>No</v>
      </c>
      <c r="I112" t="s">
        <v>213</v>
      </c>
      <c r="J112" t="str">
        <f t="shared" si="8"/>
        <v>No</v>
      </c>
      <c r="K112" t="s">
        <v>214</v>
      </c>
      <c r="L112" t="str">
        <f t="shared" si="9"/>
        <v>No</v>
      </c>
      <c r="M112" t="s">
        <v>215</v>
      </c>
      <c r="N112" t="str">
        <f t="shared" si="10"/>
        <v>""</v>
      </c>
      <c r="O112" t="s">
        <v>216</v>
      </c>
      <c r="P112" t="str">
        <f t="shared" si="11"/>
        <v>"Mauritania": { greenCard: "No", schengen: "No", chinesePassport: "No", notes: ""},</v>
      </c>
    </row>
    <row r="113" spans="1:16" ht="15" x14ac:dyDescent="0.2">
      <c r="A113" s="1" t="s">
        <v>109</v>
      </c>
      <c r="B113" s="2">
        <v>1</v>
      </c>
      <c r="F113" t="str">
        <f t="shared" si="6"/>
        <v xml:space="preserve">"Mauritius": { </v>
      </c>
      <c r="G113" t="s">
        <v>212</v>
      </c>
      <c r="H113" t="str">
        <f t="shared" si="7"/>
        <v>No</v>
      </c>
      <c r="I113" t="s">
        <v>213</v>
      </c>
      <c r="J113" t="str">
        <f t="shared" si="8"/>
        <v>No</v>
      </c>
      <c r="K113" t="s">
        <v>214</v>
      </c>
      <c r="L113" t="str">
        <f t="shared" si="9"/>
        <v>Yes</v>
      </c>
      <c r="M113" t="s">
        <v>215</v>
      </c>
      <c r="N113" t="str">
        <f t="shared" si="10"/>
        <v>""</v>
      </c>
      <c r="O113" t="s">
        <v>216</v>
      </c>
      <c r="P113" t="str">
        <f t="shared" si="11"/>
        <v>"Mauritius": { greenCard: "No", schengen: "No", chinesePassport: "Yes", notes: ""},</v>
      </c>
    </row>
    <row r="114" spans="1:16" ht="15" x14ac:dyDescent="0.2">
      <c r="A114" s="1" t="s">
        <v>110</v>
      </c>
      <c r="F114" t="str">
        <f t="shared" si="6"/>
        <v xml:space="preserve">"Mayotte": { </v>
      </c>
      <c r="G114" t="s">
        <v>212</v>
      </c>
      <c r="H114" t="str">
        <f t="shared" si="7"/>
        <v>No</v>
      </c>
      <c r="I114" t="s">
        <v>213</v>
      </c>
      <c r="J114" t="str">
        <f t="shared" si="8"/>
        <v>No</v>
      </c>
      <c r="K114" t="s">
        <v>214</v>
      </c>
      <c r="L114" t="str">
        <f t="shared" si="9"/>
        <v>No</v>
      </c>
      <c r="M114" t="s">
        <v>215</v>
      </c>
      <c r="N114" t="str">
        <f t="shared" si="10"/>
        <v>""</v>
      </c>
      <c r="O114" t="s">
        <v>216</v>
      </c>
      <c r="P114" t="str">
        <f t="shared" si="11"/>
        <v>"Mayotte": { greenCard: "No", schengen: "No", chinesePassport: "No", notes: ""},</v>
      </c>
    </row>
    <row r="115" spans="1:16" ht="15" x14ac:dyDescent="0.2">
      <c r="A115" s="1" t="s">
        <v>111</v>
      </c>
      <c r="D115" s="4">
        <v>1</v>
      </c>
      <c r="F115" t="str">
        <f t="shared" si="6"/>
        <v xml:space="preserve">"Mexico": { </v>
      </c>
      <c r="G115" t="s">
        <v>212</v>
      </c>
      <c r="H115" t="str">
        <f t="shared" si="7"/>
        <v>Yes</v>
      </c>
      <c r="I115" t="s">
        <v>213</v>
      </c>
      <c r="J115" t="str">
        <f t="shared" si="8"/>
        <v>No</v>
      </c>
      <c r="K115" t="s">
        <v>214</v>
      </c>
      <c r="L115" t="str">
        <f t="shared" si="9"/>
        <v>No</v>
      </c>
      <c r="M115" t="s">
        <v>215</v>
      </c>
      <c r="N115" t="str">
        <f t="shared" si="10"/>
        <v>""</v>
      </c>
      <c r="O115" t="s">
        <v>216</v>
      </c>
      <c r="P115" t="str">
        <f t="shared" si="11"/>
        <v>"Mexico": { greenCard: "Yes", schengen: "No", chinesePassport: "No", notes: ""},</v>
      </c>
    </row>
    <row r="116" spans="1:16" ht="15" x14ac:dyDescent="0.2">
      <c r="A116" s="1" t="s">
        <v>112</v>
      </c>
      <c r="F116" t="str">
        <f t="shared" si="6"/>
        <v xml:space="preserve">"Moldova": { </v>
      </c>
      <c r="G116" t="s">
        <v>212</v>
      </c>
      <c r="H116" t="str">
        <f t="shared" si="7"/>
        <v>No</v>
      </c>
      <c r="I116" t="s">
        <v>213</v>
      </c>
      <c r="J116" t="str">
        <f t="shared" si="8"/>
        <v>No</v>
      </c>
      <c r="K116" t="s">
        <v>214</v>
      </c>
      <c r="L116" t="str">
        <f t="shared" si="9"/>
        <v>No</v>
      </c>
      <c r="M116" t="s">
        <v>215</v>
      </c>
      <c r="N116" t="str">
        <f t="shared" si="10"/>
        <v>""</v>
      </c>
      <c r="O116" t="s">
        <v>216</v>
      </c>
      <c r="P116" t="str">
        <f t="shared" si="11"/>
        <v>"Moldova": { greenCard: "No", schengen: "No", chinesePassport: "No", notes: ""},</v>
      </c>
    </row>
    <row r="117" spans="1:16" ht="15" x14ac:dyDescent="0.2">
      <c r="A117" s="1" t="s">
        <v>113</v>
      </c>
      <c r="C117" s="3">
        <v>1</v>
      </c>
      <c r="F117" t="str">
        <f t="shared" si="6"/>
        <v xml:space="preserve">"Monaco": { </v>
      </c>
      <c r="G117" t="s">
        <v>212</v>
      </c>
      <c r="H117" t="str">
        <f t="shared" si="7"/>
        <v>No</v>
      </c>
      <c r="I117" t="s">
        <v>213</v>
      </c>
      <c r="J117" t="str">
        <f t="shared" si="8"/>
        <v>Yes</v>
      </c>
      <c r="K117" t="s">
        <v>214</v>
      </c>
      <c r="L117" t="str">
        <f t="shared" si="9"/>
        <v>No</v>
      </c>
      <c r="M117" t="s">
        <v>215</v>
      </c>
      <c r="N117" t="str">
        <f t="shared" si="10"/>
        <v>""</v>
      </c>
      <c r="O117" t="s">
        <v>216</v>
      </c>
      <c r="P117" t="str">
        <f t="shared" si="11"/>
        <v>"Monaco": { greenCard: "No", schengen: "Yes", chinesePassport: "No", notes: ""},</v>
      </c>
    </row>
    <row r="118" spans="1:16" ht="15" x14ac:dyDescent="0.2">
      <c r="A118" s="1" t="s">
        <v>114</v>
      </c>
      <c r="F118" t="str">
        <f t="shared" si="6"/>
        <v xml:space="preserve">"Mongolia": { </v>
      </c>
      <c r="G118" t="s">
        <v>212</v>
      </c>
      <c r="H118" t="str">
        <f t="shared" si="7"/>
        <v>No</v>
      </c>
      <c r="I118" t="s">
        <v>213</v>
      </c>
      <c r="J118" t="str">
        <f t="shared" si="8"/>
        <v>No</v>
      </c>
      <c r="K118" t="s">
        <v>214</v>
      </c>
      <c r="L118" t="str">
        <f t="shared" si="9"/>
        <v>No</v>
      </c>
      <c r="M118" t="s">
        <v>215</v>
      </c>
      <c r="N118" t="str">
        <f t="shared" si="10"/>
        <v>""</v>
      </c>
      <c r="O118" t="s">
        <v>216</v>
      </c>
      <c r="P118" t="str">
        <f t="shared" si="11"/>
        <v>"Mongolia": { greenCard: "No", schengen: "No", chinesePassport: "No", notes: ""},</v>
      </c>
    </row>
    <row r="119" spans="1:16" ht="15" x14ac:dyDescent="0.2">
      <c r="A119" s="1" t="s">
        <v>115</v>
      </c>
      <c r="D119" s="4">
        <v>1</v>
      </c>
      <c r="F119" t="str">
        <f t="shared" si="6"/>
        <v xml:space="preserve">"Montenegro": { </v>
      </c>
      <c r="G119" t="s">
        <v>212</v>
      </c>
      <c r="H119" t="str">
        <f t="shared" si="7"/>
        <v>Yes</v>
      </c>
      <c r="I119" t="s">
        <v>213</v>
      </c>
      <c r="J119" t="str">
        <f t="shared" si="8"/>
        <v>No</v>
      </c>
      <c r="K119" t="s">
        <v>214</v>
      </c>
      <c r="L119" t="str">
        <f t="shared" si="9"/>
        <v>No</v>
      </c>
      <c r="M119" t="s">
        <v>215</v>
      </c>
      <c r="N119" t="str">
        <f t="shared" si="10"/>
        <v>""</v>
      </c>
      <c r="O119" t="s">
        <v>216</v>
      </c>
      <c r="P119" t="str">
        <f t="shared" si="11"/>
        <v>"Montenegro": { greenCard: "Yes", schengen: "No", chinesePassport: "No", notes: ""},</v>
      </c>
    </row>
    <row r="120" spans="1:16" ht="15" x14ac:dyDescent="0.2">
      <c r="A120" s="1" t="s">
        <v>116</v>
      </c>
      <c r="B120" s="2">
        <v>1</v>
      </c>
      <c r="D120" s="4">
        <v>1</v>
      </c>
      <c r="F120" t="str">
        <f t="shared" si="6"/>
        <v xml:space="preserve">"Morocco": { </v>
      </c>
      <c r="G120" t="s">
        <v>212</v>
      </c>
      <c r="H120" t="str">
        <f t="shared" si="7"/>
        <v>Yes</v>
      </c>
      <c r="I120" t="s">
        <v>213</v>
      </c>
      <c r="J120" t="str">
        <f t="shared" si="8"/>
        <v>No</v>
      </c>
      <c r="K120" t="s">
        <v>214</v>
      </c>
      <c r="L120" t="str">
        <f t="shared" si="9"/>
        <v>Yes</v>
      </c>
      <c r="M120" t="s">
        <v>215</v>
      </c>
      <c r="N120" t="str">
        <f t="shared" si="10"/>
        <v>""</v>
      </c>
      <c r="O120" t="s">
        <v>216</v>
      </c>
      <c r="P120" t="str">
        <f t="shared" si="11"/>
        <v>"Morocco": { greenCard: "Yes", schengen: "No", chinesePassport: "Yes", notes: ""},</v>
      </c>
    </row>
    <row r="121" spans="1:16" ht="15" x14ac:dyDescent="0.2">
      <c r="A121" s="1" t="s">
        <v>117</v>
      </c>
      <c r="B121" s="2">
        <v>1</v>
      </c>
      <c r="F121" t="str">
        <f t="shared" si="6"/>
        <v xml:space="preserve">"Mozambique": { </v>
      </c>
      <c r="G121" t="s">
        <v>212</v>
      </c>
      <c r="H121" t="str">
        <f t="shared" si="7"/>
        <v>No</v>
      </c>
      <c r="I121" t="s">
        <v>213</v>
      </c>
      <c r="J121" t="str">
        <f t="shared" si="8"/>
        <v>No</v>
      </c>
      <c r="K121" t="s">
        <v>214</v>
      </c>
      <c r="L121" t="str">
        <f t="shared" si="9"/>
        <v>Yes</v>
      </c>
      <c r="M121" t="s">
        <v>215</v>
      </c>
      <c r="N121" t="str">
        <f t="shared" si="10"/>
        <v>""</v>
      </c>
      <c r="O121" t="s">
        <v>216</v>
      </c>
      <c r="P121" t="str">
        <f t="shared" si="11"/>
        <v>"Mozambique": { greenCard: "No", schengen: "No", chinesePassport: "Yes", notes: ""},</v>
      </c>
    </row>
    <row r="122" spans="1:16" ht="15" x14ac:dyDescent="0.2">
      <c r="A122" s="1" t="s">
        <v>118</v>
      </c>
      <c r="E122" s="5">
        <v>1</v>
      </c>
      <c r="F122" t="str">
        <f t="shared" si="6"/>
        <v xml:space="preserve">"Myanmar": { </v>
      </c>
      <c r="G122" t="s">
        <v>212</v>
      </c>
      <c r="H122" t="str">
        <f t="shared" si="7"/>
        <v>No</v>
      </c>
      <c r="I122" t="s">
        <v>213</v>
      </c>
      <c r="J122" t="str">
        <f t="shared" si="8"/>
        <v>No</v>
      </c>
      <c r="K122" t="s">
        <v>214</v>
      </c>
      <c r="L122" t="str">
        <f t="shared" si="9"/>
        <v>Yes</v>
      </c>
      <c r="M122" t="s">
        <v>215</v>
      </c>
      <c r="N122" t="str">
        <f t="shared" si="10"/>
        <v>"Visa on Arrival"</v>
      </c>
      <c r="O122" t="s">
        <v>216</v>
      </c>
      <c r="P122" t="str">
        <f t="shared" si="11"/>
        <v>"Myanmar": { greenCard: "No", schengen: "No", chinesePassport: "Yes", notes: "Visa on Arrival"},</v>
      </c>
    </row>
    <row r="123" spans="1:16" ht="15" x14ac:dyDescent="0.2">
      <c r="A123" s="1" t="s">
        <v>119</v>
      </c>
      <c r="F123" t="str">
        <f t="shared" si="6"/>
        <v xml:space="preserve">"Namibia": { </v>
      </c>
      <c r="G123" t="s">
        <v>212</v>
      </c>
      <c r="H123" t="str">
        <f t="shared" si="7"/>
        <v>No</v>
      </c>
      <c r="I123" t="s">
        <v>213</v>
      </c>
      <c r="J123" t="str">
        <f t="shared" si="8"/>
        <v>No</v>
      </c>
      <c r="K123" t="s">
        <v>214</v>
      </c>
      <c r="L123" t="str">
        <f t="shared" si="9"/>
        <v>No</v>
      </c>
      <c r="M123" t="s">
        <v>215</v>
      </c>
      <c r="N123" t="str">
        <f t="shared" si="10"/>
        <v>""</v>
      </c>
      <c r="O123" t="s">
        <v>216</v>
      </c>
      <c r="P123" t="str">
        <f t="shared" si="11"/>
        <v>"Namibia": { greenCard: "No", schengen: "No", chinesePassport: "No", notes: ""},</v>
      </c>
    </row>
    <row r="124" spans="1:16" ht="15" x14ac:dyDescent="0.2">
      <c r="A124" s="1" t="s">
        <v>120</v>
      </c>
      <c r="E124" s="5">
        <v>1</v>
      </c>
      <c r="F124" t="str">
        <f t="shared" si="6"/>
        <v xml:space="preserve">"Nepal": { </v>
      </c>
      <c r="G124" t="s">
        <v>212</v>
      </c>
      <c r="H124" t="str">
        <f t="shared" si="7"/>
        <v>No</v>
      </c>
      <c r="I124" t="s">
        <v>213</v>
      </c>
      <c r="J124" t="str">
        <f t="shared" si="8"/>
        <v>No</v>
      </c>
      <c r="K124" t="s">
        <v>214</v>
      </c>
      <c r="L124" t="str">
        <f t="shared" si="9"/>
        <v>Yes</v>
      </c>
      <c r="M124" t="s">
        <v>215</v>
      </c>
      <c r="N124" t="str">
        <f t="shared" si="10"/>
        <v>"Visa on Arrival"</v>
      </c>
      <c r="O124" t="s">
        <v>216</v>
      </c>
      <c r="P124" t="str">
        <f t="shared" si="11"/>
        <v>"Nepal": { greenCard: "No", schengen: "No", chinesePassport: "Yes", notes: "Visa on Arrival"},</v>
      </c>
    </row>
    <row r="125" spans="1:16" ht="15" x14ac:dyDescent="0.2">
      <c r="A125" s="1" t="s">
        <v>121</v>
      </c>
      <c r="C125" s="3">
        <v>1</v>
      </c>
      <c r="F125" t="str">
        <f t="shared" si="6"/>
        <v xml:space="preserve">"Netherlands": { </v>
      </c>
      <c r="G125" t="s">
        <v>212</v>
      </c>
      <c r="H125" t="str">
        <f t="shared" si="7"/>
        <v>No</v>
      </c>
      <c r="I125" t="s">
        <v>213</v>
      </c>
      <c r="J125" t="str">
        <f t="shared" si="8"/>
        <v>Yes</v>
      </c>
      <c r="K125" t="s">
        <v>214</v>
      </c>
      <c r="L125" t="str">
        <f t="shared" si="9"/>
        <v>No</v>
      </c>
      <c r="M125" t="s">
        <v>215</v>
      </c>
      <c r="N125" t="str">
        <f t="shared" si="10"/>
        <v>""</v>
      </c>
      <c r="O125" t="s">
        <v>216</v>
      </c>
      <c r="P125" t="str">
        <f t="shared" si="11"/>
        <v>"Netherlands": { greenCard: "No", schengen: "Yes", chinesePassport: "No", notes: ""},</v>
      </c>
    </row>
    <row r="126" spans="1:16" ht="15" x14ac:dyDescent="0.2">
      <c r="A126" s="1" t="s">
        <v>122</v>
      </c>
      <c r="F126" t="str">
        <f t="shared" si="6"/>
        <v xml:space="preserve">"Nicaragua": { </v>
      </c>
      <c r="G126" t="s">
        <v>212</v>
      </c>
      <c r="H126" t="str">
        <f t="shared" si="7"/>
        <v>No</v>
      </c>
      <c r="I126" t="s">
        <v>213</v>
      </c>
      <c r="J126" t="str">
        <f t="shared" si="8"/>
        <v>No</v>
      </c>
      <c r="K126" t="s">
        <v>214</v>
      </c>
      <c r="L126" t="str">
        <f t="shared" si="9"/>
        <v>No</v>
      </c>
      <c r="M126" t="s">
        <v>215</v>
      </c>
      <c r="N126" t="str">
        <f t="shared" si="10"/>
        <v>""</v>
      </c>
      <c r="O126" t="s">
        <v>216</v>
      </c>
      <c r="P126" t="str">
        <f t="shared" si="11"/>
        <v>"Nicaragua": { greenCard: "No", schengen: "No", chinesePassport: "No", notes: ""},</v>
      </c>
    </row>
    <row r="127" spans="1:16" ht="15" x14ac:dyDescent="0.2">
      <c r="A127" s="1" t="s">
        <v>123</v>
      </c>
      <c r="F127" t="str">
        <f t="shared" si="6"/>
        <v xml:space="preserve">"Niger": { </v>
      </c>
      <c r="G127" t="s">
        <v>212</v>
      </c>
      <c r="H127" t="str">
        <f t="shared" si="7"/>
        <v>No</v>
      </c>
      <c r="I127" t="s">
        <v>213</v>
      </c>
      <c r="J127" t="str">
        <f t="shared" si="8"/>
        <v>No</v>
      </c>
      <c r="K127" t="s">
        <v>214</v>
      </c>
      <c r="L127" t="str">
        <f t="shared" si="9"/>
        <v>No</v>
      </c>
      <c r="M127" t="s">
        <v>215</v>
      </c>
      <c r="N127" t="str">
        <f t="shared" si="10"/>
        <v>""</v>
      </c>
      <c r="O127" t="s">
        <v>216</v>
      </c>
      <c r="P127" t="str">
        <f t="shared" si="11"/>
        <v>"Niger": { greenCard: "No", schengen: "No", chinesePassport: "No", notes: ""},</v>
      </c>
    </row>
    <row r="128" spans="1:16" ht="15" x14ac:dyDescent="0.2">
      <c r="A128" s="1" t="s">
        <v>124</v>
      </c>
      <c r="F128" t="str">
        <f t="shared" si="6"/>
        <v xml:space="preserve">"Nigeria": { </v>
      </c>
      <c r="G128" t="s">
        <v>212</v>
      </c>
      <c r="H128" t="str">
        <f t="shared" si="7"/>
        <v>No</v>
      </c>
      <c r="I128" t="s">
        <v>213</v>
      </c>
      <c r="J128" t="str">
        <f t="shared" si="8"/>
        <v>No</v>
      </c>
      <c r="K128" t="s">
        <v>214</v>
      </c>
      <c r="L128" t="str">
        <f t="shared" si="9"/>
        <v>No</v>
      </c>
      <c r="M128" t="s">
        <v>215</v>
      </c>
      <c r="N128" t="str">
        <f t="shared" si="10"/>
        <v>""</v>
      </c>
      <c r="O128" t="s">
        <v>216</v>
      </c>
      <c r="P128" t="str">
        <f t="shared" si="11"/>
        <v>"Nigeria": { greenCard: "No", schengen: "No", chinesePassport: "No", notes: ""},</v>
      </c>
    </row>
    <row r="129" spans="1:16" ht="15" x14ac:dyDescent="0.2">
      <c r="A129" s="1" t="s">
        <v>125</v>
      </c>
      <c r="F129" t="str">
        <f t="shared" si="6"/>
        <v xml:space="preserve">"North Korea": { </v>
      </c>
      <c r="G129" t="s">
        <v>212</v>
      </c>
      <c r="H129" t="str">
        <f t="shared" si="7"/>
        <v>No</v>
      </c>
      <c r="I129" t="s">
        <v>213</v>
      </c>
      <c r="J129" t="str">
        <f t="shared" si="8"/>
        <v>No</v>
      </c>
      <c r="K129" t="s">
        <v>214</v>
      </c>
      <c r="L129" t="str">
        <f t="shared" si="9"/>
        <v>No</v>
      </c>
      <c r="M129" t="s">
        <v>215</v>
      </c>
      <c r="N129" t="str">
        <f t="shared" si="10"/>
        <v>""</v>
      </c>
      <c r="O129" t="s">
        <v>216</v>
      </c>
      <c r="P129" t="str">
        <f t="shared" si="11"/>
        <v>"North Korea": { greenCard: "No", schengen: "No", chinesePassport: "No", notes: ""},</v>
      </c>
    </row>
    <row r="130" spans="1:16" ht="15" x14ac:dyDescent="0.2">
      <c r="A130" s="1" t="s">
        <v>126</v>
      </c>
      <c r="F130" t="str">
        <f t="shared" si="6"/>
        <v xml:space="preserve">"North Macedonia": { </v>
      </c>
      <c r="G130" t="s">
        <v>212</v>
      </c>
      <c r="H130" t="str">
        <f t="shared" si="7"/>
        <v>No</v>
      </c>
      <c r="I130" t="s">
        <v>213</v>
      </c>
      <c r="J130" t="str">
        <f t="shared" si="8"/>
        <v>No</v>
      </c>
      <c r="K130" t="s">
        <v>214</v>
      </c>
      <c r="L130" t="str">
        <f t="shared" si="9"/>
        <v>No</v>
      </c>
      <c r="M130" t="s">
        <v>215</v>
      </c>
      <c r="N130" t="str">
        <f t="shared" si="10"/>
        <v>""</v>
      </c>
      <c r="O130" t="s">
        <v>216</v>
      </c>
      <c r="P130" t="str">
        <f t="shared" si="11"/>
        <v>"North Macedonia": { greenCard: "No", schengen: "No", chinesePassport: "No", notes: ""},</v>
      </c>
    </row>
    <row r="131" spans="1:16" ht="15" x14ac:dyDescent="0.2">
      <c r="A131" s="1" t="s">
        <v>127</v>
      </c>
      <c r="C131" s="3">
        <v>1</v>
      </c>
      <c r="F131" t="str">
        <f t="shared" ref="F131:F194" si="12">""""&amp;A131&amp;""": { "</f>
        <v xml:space="preserve">"Norway": { </v>
      </c>
      <c r="G131" t="s">
        <v>212</v>
      </c>
      <c r="H131" t="str">
        <f t="shared" ref="H131:H194" si="13">IF(D131=1,"Yes","No")</f>
        <v>No</v>
      </c>
      <c r="I131" t="s">
        <v>213</v>
      </c>
      <c r="J131" t="str">
        <f t="shared" ref="J131:J194" si="14">IF(C131=1,"Yes","No")</f>
        <v>Yes</v>
      </c>
      <c r="K131" t="s">
        <v>214</v>
      </c>
      <c r="L131" t="str">
        <f t="shared" ref="L131:L194" si="15">IF(OR(B131=1,E131=1),"Yes","No")</f>
        <v>No</v>
      </c>
      <c r="M131" t="s">
        <v>215</v>
      </c>
      <c r="N131" t="str">
        <f t="shared" ref="N131:N194" si="16">IF(E131=1,"""Visa on Arrival""","""""")</f>
        <v>""</v>
      </c>
      <c r="O131" t="s">
        <v>216</v>
      </c>
      <c r="P131" t="str">
        <f t="shared" ref="P131:P194" si="17">_xlfn.CONCAT(F131:O131)</f>
        <v>"Norway": { greenCard: "No", schengen: "Yes", chinesePassport: "No", notes: ""},</v>
      </c>
    </row>
    <row r="132" spans="1:16" ht="15" x14ac:dyDescent="0.2">
      <c r="A132" s="1" t="s">
        <v>128</v>
      </c>
      <c r="E132" s="5">
        <v>1</v>
      </c>
      <c r="F132" t="str">
        <f t="shared" si="12"/>
        <v xml:space="preserve">"Oman": { </v>
      </c>
      <c r="G132" t="s">
        <v>212</v>
      </c>
      <c r="H132" t="str">
        <f t="shared" si="13"/>
        <v>No</v>
      </c>
      <c r="I132" t="s">
        <v>213</v>
      </c>
      <c r="J132" t="str">
        <f t="shared" si="14"/>
        <v>No</v>
      </c>
      <c r="K132" t="s">
        <v>214</v>
      </c>
      <c r="L132" t="str">
        <f t="shared" si="15"/>
        <v>Yes</v>
      </c>
      <c r="M132" t="s">
        <v>215</v>
      </c>
      <c r="N132" t="str">
        <f t="shared" si="16"/>
        <v>"Visa on Arrival"</v>
      </c>
      <c r="O132" t="s">
        <v>216</v>
      </c>
      <c r="P132" t="str">
        <f t="shared" si="17"/>
        <v>"Oman": { greenCard: "No", schengen: "No", chinesePassport: "Yes", notes: "Visa on Arrival"},</v>
      </c>
    </row>
    <row r="133" spans="1:16" ht="15" x14ac:dyDescent="0.2">
      <c r="A133" s="1" t="s">
        <v>129</v>
      </c>
      <c r="F133" t="str">
        <f t="shared" si="12"/>
        <v xml:space="preserve">"Pakistan": { </v>
      </c>
      <c r="G133" t="s">
        <v>212</v>
      </c>
      <c r="H133" t="str">
        <f t="shared" si="13"/>
        <v>No</v>
      </c>
      <c r="I133" t="s">
        <v>213</v>
      </c>
      <c r="J133" t="str">
        <f t="shared" si="14"/>
        <v>No</v>
      </c>
      <c r="K133" t="s">
        <v>214</v>
      </c>
      <c r="L133" t="str">
        <f t="shared" si="15"/>
        <v>No</v>
      </c>
      <c r="M133" t="s">
        <v>215</v>
      </c>
      <c r="N133" t="str">
        <f t="shared" si="16"/>
        <v>""</v>
      </c>
      <c r="O133" t="s">
        <v>216</v>
      </c>
      <c r="P133" t="str">
        <f t="shared" si="17"/>
        <v>"Pakistan": { greenCard: "No", schengen: "No", chinesePassport: "No", notes: ""},</v>
      </c>
    </row>
    <row r="134" spans="1:16" ht="15" x14ac:dyDescent="0.2">
      <c r="A134" s="1" t="s">
        <v>130</v>
      </c>
      <c r="D134" s="4">
        <v>1</v>
      </c>
      <c r="F134" t="str">
        <f t="shared" si="12"/>
        <v xml:space="preserve">"Panama": { </v>
      </c>
      <c r="G134" t="s">
        <v>212</v>
      </c>
      <c r="H134" t="str">
        <f t="shared" si="13"/>
        <v>Yes</v>
      </c>
      <c r="I134" t="s">
        <v>213</v>
      </c>
      <c r="J134" t="str">
        <f t="shared" si="14"/>
        <v>No</v>
      </c>
      <c r="K134" t="s">
        <v>214</v>
      </c>
      <c r="L134" t="str">
        <f t="shared" si="15"/>
        <v>No</v>
      </c>
      <c r="M134" t="s">
        <v>215</v>
      </c>
      <c r="N134" t="str">
        <f t="shared" si="16"/>
        <v>""</v>
      </c>
      <c r="O134" t="s">
        <v>216</v>
      </c>
      <c r="P134" t="str">
        <f t="shared" si="17"/>
        <v>"Panama": { greenCard: "Yes", schengen: "No", chinesePassport: "No", notes: ""},</v>
      </c>
    </row>
    <row r="135" spans="1:16" ht="15" x14ac:dyDescent="0.2">
      <c r="A135" s="1" t="s">
        <v>131</v>
      </c>
      <c r="F135" t="str">
        <f t="shared" si="12"/>
        <v xml:space="preserve">"Paraguay": { </v>
      </c>
      <c r="G135" t="s">
        <v>212</v>
      </c>
      <c r="H135" t="str">
        <f t="shared" si="13"/>
        <v>No</v>
      </c>
      <c r="I135" t="s">
        <v>213</v>
      </c>
      <c r="J135" t="str">
        <f t="shared" si="14"/>
        <v>No</v>
      </c>
      <c r="K135" t="s">
        <v>214</v>
      </c>
      <c r="L135" t="str">
        <f t="shared" si="15"/>
        <v>No</v>
      </c>
      <c r="M135" t="s">
        <v>215</v>
      </c>
      <c r="N135" t="str">
        <f t="shared" si="16"/>
        <v>""</v>
      </c>
      <c r="O135" t="s">
        <v>216</v>
      </c>
      <c r="P135" t="str">
        <f t="shared" si="17"/>
        <v>"Paraguay": { greenCard: "No", schengen: "No", chinesePassport: "No", notes: ""},</v>
      </c>
    </row>
    <row r="136" spans="1:16" ht="15" x14ac:dyDescent="0.2">
      <c r="A136" s="1" t="s">
        <v>132</v>
      </c>
      <c r="D136" s="4">
        <v>1</v>
      </c>
      <c r="F136" t="str">
        <f t="shared" si="12"/>
        <v xml:space="preserve">"Peru": { </v>
      </c>
      <c r="G136" t="s">
        <v>212</v>
      </c>
      <c r="H136" t="str">
        <f t="shared" si="13"/>
        <v>Yes</v>
      </c>
      <c r="I136" t="s">
        <v>213</v>
      </c>
      <c r="J136" t="str">
        <f t="shared" si="14"/>
        <v>No</v>
      </c>
      <c r="K136" t="s">
        <v>214</v>
      </c>
      <c r="L136" t="str">
        <f t="shared" si="15"/>
        <v>No</v>
      </c>
      <c r="M136" t="s">
        <v>215</v>
      </c>
      <c r="N136" t="str">
        <f t="shared" si="16"/>
        <v>""</v>
      </c>
      <c r="O136" t="s">
        <v>216</v>
      </c>
      <c r="P136" t="str">
        <f t="shared" si="17"/>
        <v>"Peru": { greenCard: "Yes", schengen: "No", chinesePassport: "No", notes: ""},</v>
      </c>
    </row>
    <row r="137" spans="1:16" ht="15" x14ac:dyDescent="0.2">
      <c r="A137" s="1" t="s">
        <v>133</v>
      </c>
      <c r="D137" s="4">
        <v>1</v>
      </c>
      <c r="F137" t="str">
        <f t="shared" si="12"/>
        <v xml:space="preserve">"Philippines": { </v>
      </c>
      <c r="G137" t="s">
        <v>212</v>
      </c>
      <c r="H137" t="str">
        <f t="shared" si="13"/>
        <v>Yes</v>
      </c>
      <c r="I137" t="s">
        <v>213</v>
      </c>
      <c r="J137" t="str">
        <f t="shared" si="14"/>
        <v>No</v>
      </c>
      <c r="K137" t="s">
        <v>214</v>
      </c>
      <c r="L137" t="str">
        <f t="shared" si="15"/>
        <v>No</v>
      </c>
      <c r="M137" t="s">
        <v>215</v>
      </c>
      <c r="N137" t="str">
        <f t="shared" si="16"/>
        <v>""</v>
      </c>
      <c r="O137" t="s">
        <v>216</v>
      </c>
      <c r="P137" t="str">
        <f t="shared" si="17"/>
        <v>"Philippines": { greenCard: "Yes", schengen: "No", chinesePassport: "No", notes: ""},</v>
      </c>
    </row>
    <row r="138" spans="1:16" ht="15" x14ac:dyDescent="0.2">
      <c r="A138" s="1" t="s">
        <v>134</v>
      </c>
      <c r="C138" s="3">
        <v>1</v>
      </c>
      <c r="F138" t="str">
        <f t="shared" si="12"/>
        <v xml:space="preserve">"Poland": { </v>
      </c>
      <c r="G138" t="s">
        <v>212</v>
      </c>
      <c r="H138" t="str">
        <f t="shared" si="13"/>
        <v>No</v>
      </c>
      <c r="I138" t="s">
        <v>213</v>
      </c>
      <c r="J138" t="str">
        <f t="shared" si="14"/>
        <v>Yes</v>
      </c>
      <c r="K138" t="s">
        <v>214</v>
      </c>
      <c r="L138" t="str">
        <f t="shared" si="15"/>
        <v>No</v>
      </c>
      <c r="M138" t="s">
        <v>215</v>
      </c>
      <c r="N138" t="str">
        <f t="shared" si="16"/>
        <v>""</v>
      </c>
      <c r="O138" t="s">
        <v>216</v>
      </c>
      <c r="P138" t="str">
        <f t="shared" si="17"/>
        <v>"Poland": { greenCard: "No", schengen: "Yes", chinesePassport: "No", notes: ""},</v>
      </c>
    </row>
    <row r="139" spans="1:16" ht="15" x14ac:dyDescent="0.2">
      <c r="A139" s="1" t="s">
        <v>135</v>
      </c>
      <c r="C139" s="3">
        <v>1</v>
      </c>
      <c r="F139" t="str">
        <f t="shared" si="12"/>
        <v xml:space="preserve">"Portugal": { </v>
      </c>
      <c r="G139" t="s">
        <v>212</v>
      </c>
      <c r="H139" t="str">
        <f t="shared" si="13"/>
        <v>No</v>
      </c>
      <c r="I139" t="s">
        <v>213</v>
      </c>
      <c r="J139" t="str">
        <f t="shared" si="14"/>
        <v>Yes</v>
      </c>
      <c r="K139" t="s">
        <v>214</v>
      </c>
      <c r="L139" t="str">
        <f t="shared" si="15"/>
        <v>No</v>
      </c>
      <c r="M139" t="s">
        <v>215</v>
      </c>
      <c r="N139" t="str">
        <f t="shared" si="16"/>
        <v>""</v>
      </c>
      <c r="O139" t="s">
        <v>216</v>
      </c>
      <c r="P139" t="str">
        <f t="shared" si="17"/>
        <v>"Portugal": { greenCard: "No", schengen: "Yes", chinesePassport: "No", notes: ""},</v>
      </c>
    </row>
    <row r="140" spans="1:16" ht="15" x14ac:dyDescent="0.2">
      <c r="A140" s="1" t="s">
        <v>136</v>
      </c>
      <c r="E140" s="5">
        <v>1</v>
      </c>
      <c r="F140" t="str">
        <f t="shared" si="12"/>
        <v xml:space="preserve">"Qatar": { </v>
      </c>
      <c r="G140" t="s">
        <v>212</v>
      </c>
      <c r="H140" t="str">
        <f t="shared" si="13"/>
        <v>No</v>
      </c>
      <c r="I140" t="s">
        <v>213</v>
      </c>
      <c r="J140" t="str">
        <f t="shared" si="14"/>
        <v>No</v>
      </c>
      <c r="K140" t="s">
        <v>214</v>
      </c>
      <c r="L140" t="str">
        <f t="shared" si="15"/>
        <v>Yes</v>
      </c>
      <c r="M140" t="s">
        <v>215</v>
      </c>
      <c r="N140" t="str">
        <f t="shared" si="16"/>
        <v>"Visa on Arrival"</v>
      </c>
      <c r="O140" t="s">
        <v>216</v>
      </c>
      <c r="P140" t="str">
        <f t="shared" si="17"/>
        <v>"Qatar": { greenCard: "No", schengen: "No", chinesePassport: "Yes", notes: "Visa on Arrival"},</v>
      </c>
    </row>
    <row r="141" spans="1:16" ht="15" x14ac:dyDescent="0.2">
      <c r="A141" s="1" t="s">
        <v>137</v>
      </c>
      <c r="F141" t="str">
        <f t="shared" si="12"/>
        <v xml:space="preserve">"Réunion": { </v>
      </c>
      <c r="G141" t="s">
        <v>212</v>
      </c>
      <c r="H141" t="str">
        <f t="shared" si="13"/>
        <v>No</v>
      </c>
      <c r="I141" t="s">
        <v>213</v>
      </c>
      <c r="J141" t="str">
        <f t="shared" si="14"/>
        <v>No</v>
      </c>
      <c r="K141" t="s">
        <v>214</v>
      </c>
      <c r="L141" t="str">
        <f t="shared" si="15"/>
        <v>No</v>
      </c>
      <c r="M141" t="s">
        <v>215</v>
      </c>
      <c r="N141" t="str">
        <f t="shared" si="16"/>
        <v>""</v>
      </c>
      <c r="O141" t="s">
        <v>216</v>
      </c>
      <c r="P141" t="str">
        <f t="shared" si="17"/>
        <v>"Réunion": { greenCard: "No", schengen: "No", chinesePassport: "No", notes: ""},</v>
      </c>
    </row>
    <row r="142" spans="1:16" ht="15" x14ac:dyDescent="0.2">
      <c r="A142" s="1" t="s">
        <v>138</v>
      </c>
      <c r="F142" t="str">
        <f t="shared" si="12"/>
        <v xml:space="preserve">"Romania": { </v>
      </c>
      <c r="G142" t="s">
        <v>212</v>
      </c>
      <c r="H142" t="str">
        <f t="shared" si="13"/>
        <v>No</v>
      </c>
      <c r="I142" t="s">
        <v>213</v>
      </c>
      <c r="J142" t="str">
        <f t="shared" si="14"/>
        <v>No</v>
      </c>
      <c r="K142" t="s">
        <v>214</v>
      </c>
      <c r="L142" t="str">
        <f t="shared" si="15"/>
        <v>No</v>
      </c>
      <c r="M142" t="s">
        <v>215</v>
      </c>
      <c r="N142" t="str">
        <f t="shared" si="16"/>
        <v>""</v>
      </c>
      <c r="O142" t="s">
        <v>216</v>
      </c>
      <c r="P142" t="str">
        <f t="shared" si="17"/>
        <v>"Romania": { greenCard: "No", schengen: "No", chinesePassport: "No", notes: ""},</v>
      </c>
    </row>
    <row r="143" spans="1:16" ht="15" x14ac:dyDescent="0.2">
      <c r="A143" s="1" t="s">
        <v>139</v>
      </c>
      <c r="F143" t="str">
        <f t="shared" si="12"/>
        <v xml:space="preserve">"Russia": { </v>
      </c>
      <c r="G143" t="s">
        <v>212</v>
      </c>
      <c r="H143" t="str">
        <f t="shared" si="13"/>
        <v>No</v>
      </c>
      <c r="I143" t="s">
        <v>213</v>
      </c>
      <c r="J143" t="str">
        <f t="shared" si="14"/>
        <v>No</v>
      </c>
      <c r="K143" t="s">
        <v>214</v>
      </c>
      <c r="L143" t="str">
        <f t="shared" si="15"/>
        <v>No</v>
      </c>
      <c r="M143" t="s">
        <v>215</v>
      </c>
      <c r="N143" t="str">
        <f t="shared" si="16"/>
        <v>""</v>
      </c>
      <c r="O143" t="s">
        <v>216</v>
      </c>
      <c r="P143" t="str">
        <f t="shared" si="17"/>
        <v>"Russia": { greenCard: "No", schengen: "No", chinesePassport: "No", notes: ""},</v>
      </c>
    </row>
    <row r="144" spans="1:16" ht="15" x14ac:dyDescent="0.2">
      <c r="A144" s="1" t="s">
        <v>140</v>
      </c>
      <c r="E144" s="5">
        <v>1</v>
      </c>
      <c r="F144" t="str">
        <f t="shared" si="12"/>
        <v xml:space="preserve">"Rwanda": { </v>
      </c>
      <c r="G144" t="s">
        <v>212</v>
      </c>
      <c r="H144" t="str">
        <f t="shared" si="13"/>
        <v>No</v>
      </c>
      <c r="I144" t="s">
        <v>213</v>
      </c>
      <c r="J144" t="str">
        <f t="shared" si="14"/>
        <v>No</v>
      </c>
      <c r="K144" t="s">
        <v>214</v>
      </c>
      <c r="L144" t="str">
        <f t="shared" si="15"/>
        <v>Yes</v>
      </c>
      <c r="M144" t="s">
        <v>215</v>
      </c>
      <c r="N144" t="str">
        <f t="shared" si="16"/>
        <v>"Visa on Arrival"</v>
      </c>
      <c r="O144" t="s">
        <v>216</v>
      </c>
      <c r="P144" t="str">
        <f t="shared" si="17"/>
        <v>"Rwanda": { greenCard: "No", schengen: "No", chinesePassport: "Yes", notes: "Visa on Arrival"},</v>
      </c>
    </row>
    <row r="145" spans="1:16" ht="15" x14ac:dyDescent="0.2">
      <c r="A145" s="1" t="s">
        <v>141</v>
      </c>
      <c r="F145" t="str">
        <f t="shared" si="12"/>
        <v xml:space="preserve">"Saint Helena": { </v>
      </c>
      <c r="G145" t="s">
        <v>212</v>
      </c>
      <c r="H145" t="str">
        <f t="shared" si="13"/>
        <v>No</v>
      </c>
      <c r="I145" t="s">
        <v>213</v>
      </c>
      <c r="J145" t="str">
        <f t="shared" si="14"/>
        <v>No</v>
      </c>
      <c r="K145" t="s">
        <v>214</v>
      </c>
      <c r="L145" t="str">
        <f t="shared" si="15"/>
        <v>No</v>
      </c>
      <c r="M145" t="s">
        <v>215</v>
      </c>
      <c r="N145" t="str">
        <f t="shared" si="16"/>
        <v>""</v>
      </c>
      <c r="O145" t="s">
        <v>216</v>
      </c>
      <c r="P145" t="str">
        <f t="shared" si="17"/>
        <v>"Saint Helena": { greenCard: "No", schengen: "No", chinesePassport: "No", notes: ""},</v>
      </c>
    </row>
    <row r="146" spans="1:16" ht="15" x14ac:dyDescent="0.2">
      <c r="A146" s="1" t="s">
        <v>142</v>
      </c>
      <c r="F146" t="str">
        <f t="shared" si="12"/>
        <v xml:space="preserve">"Saint Kitts and Nevis": { </v>
      </c>
      <c r="G146" t="s">
        <v>212</v>
      </c>
      <c r="H146" t="str">
        <f t="shared" si="13"/>
        <v>No</v>
      </c>
      <c r="I146" t="s">
        <v>213</v>
      </c>
      <c r="J146" t="str">
        <f t="shared" si="14"/>
        <v>No</v>
      </c>
      <c r="K146" t="s">
        <v>214</v>
      </c>
      <c r="L146" t="str">
        <f t="shared" si="15"/>
        <v>No</v>
      </c>
      <c r="M146" t="s">
        <v>215</v>
      </c>
      <c r="N146" t="str">
        <f t="shared" si="16"/>
        <v>""</v>
      </c>
      <c r="O146" t="s">
        <v>216</v>
      </c>
      <c r="P146" t="str">
        <f t="shared" si="17"/>
        <v>"Saint Kitts and Nevis": { greenCard: "No", schengen: "No", chinesePassport: "No", notes: ""},</v>
      </c>
    </row>
    <row r="147" spans="1:16" ht="15" x14ac:dyDescent="0.2">
      <c r="A147" s="1" t="s">
        <v>143</v>
      </c>
      <c r="B147" s="2">
        <v>1</v>
      </c>
      <c r="F147" t="str">
        <f t="shared" si="12"/>
        <v xml:space="preserve">"Saint Lucia": { </v>
      </c>
      <c r="G147" t="s">
        <v>212</v>
      </c>
      <c r="H147" t="str">
        <f t="shared" si="13"/>
        <v>No</v>
      </c>
      <c r="I147" t="s">
        <v>213</v>
      </c>
      <c r="J147" t="str">
        <f t="shared" si="14"/>
        <v>No</v>
      </c>
      <c r="K147" t="s">
        <v>214</v>
      </c>
      <c r="L147" t="str">
        <f t="shared" si="15"/>
        <v>Yes</v>
      </c>
      <c r="M147" t="s">
        <v>215</v>
      </c>
      <c r="N147" t="str">
        <f t="shared" si="16"/>
        <v>""</v>
      </c>
      <c r="O147" t="s">
        <v>216</v>
      </c>
      <c r="P147" t="str">
        <f t="shared" si="17"/>
        <v>"Saint Lucia": { greenCard: "No", schengen: "No", chinesePassport: "Yes", notes: ""},</v>
      </c>
    </row>
    <row r="148" spans="1:16" ht="15" x14ac:dyDescent="0.2">
      <c r="A148" s="1" t="s">
        <v>144</v>
      </c>
      <c r="F148" t="str">
        <f t="shared" si="12"/>
        <v xml:space="preserve">"Saint Vincent and the Grenadines": { </v>
      </c>
      <c r="G148" t="s">
        <v>212</v>
      </c>
      <c r="H148" t="str">
        <f t="shared" si="13"/>
        <v>No</v>
      </c>
      <c r="I148" t="s">
        <v>213</v>
      </c>
      <c r="J148" t="str">
        <f t="shared" si="14"/>
        <v>No</v>
      </c>
      <c r="K148" t="s">
        <v>214</v>
      </c>
      <c r="L148" t="str">
        <f t="shared" si="15"/>
        <v>No</v>
      </c>
      <c r="M148" t="s">
        <v>215</v>
      </c>
      <c r="N148" t="str">
        <f t="shared" si="16"/>
        <v>""</v>
      </c>
      <c r="O148" t="s">
        <v>216</v>
      </c>
      <c r="P148" t="str">
        <f t="shared" si="17"/>
        <v>"Saint Vincent and the Grenadines": { greenCard: "No", schengen: "No", chinesePassport: "No", notes: ""},</v>
      </c>
    </row>
    <row r="149" spans="1:16" ht="15" x14ac:dyDescent="0.2">
      <c r="A149" s="1" t="s">
        <v>145</v>
      </c>
      <c r="C149" s="3">
        <v>1</v>
      </c>
      <c r="F149" t="str">
        <f t="shared" si="12"/>
        <v xml:space="preserve">"San Marino": { </v>
      </c>
      <c r="G149" t="s">
        <v>212</v>
      </c>
      <c r="H149" t="str">
        <f t="shared" si="13"/>
        <v>No</v>
      </c>
      <c r="I149" t="s">
        <v>213</v>
      </c>
      <c r="J149" t="str">
        <f t="shared" si="14"/>
        <v>Yes</v>
      </c>
      <c r="K149" t="s">
        <v>214</v>
      </c>
      <c r="L149" t="str">
        <f t="shared" si="15"/>
        <v>No</v>
      </c>
      <c r="M149" t="s">
        <v>215</v>
      </c>
      <c r="N149" t="str">
        <f t="shared" si="16"/>
        <v>""</v>
      </c>
      <c r="O149" t="s">
        <v>216</v>
      </c>
      <c r="P149" t="str">
        <f t="shared" si="17"/>
        <v>"San Marino": { greenCard: "No", schengen: "Yes", chinesePassport: "No", notes: ""},</v>
      </c>
    </row>
    <row r="150" spans="1:16" ht="15" x14ac:dyDescent="0.2">
      <c r="A150" s="1" t="s">
        <v>146</v>
      </c>
      <c r="E150" s="5">
        <v>1</v>
      </c>
      <c r="F150" t="str">
        <f t="shared" si="12"/>
        <v xml:space="preserve">"Sao Tome &amp; Principe": { </v>
      </c>
      <c r="G150" t="s">
        <v>212</v>
      </c>
      <c r="H150" t="str">
        <f t="shared" si="13"/>
        <v>No</v>
      </c>
      <c r="I150" t="s">
        <v>213</v>
      </c>
      <c r="J150" t="str">
        <f t="shared" si="14"/>
        <v>No</v>
      </c>
      <c r="K150" t="s">
        <v>214</v>
      </c>
      <c r="L150" t="str">
        <f t="shared" si="15"/>
        <v>Yes</v>
      </c>
      <c r="M150" t="s">
        <v>215</v>
      </c>
      <c r="N150" t="str">
        <f t="shared" si="16"/>
        <v>"Visa on Arrival"</v>
      </c>
      <c r="O150" t="s">
        <v>216</v>
      </c>
      <c r="P150" t="str">
        <f t="shared" si="17"/>
        <v>"Sao Tome &amp; Principe": { greenCard: "No", schengen: "No", chinesePassport: "Yes", notes: "Visa on Arrival"},</v>
      </c>
    </row>
    <row r="151" spans="1:16" ht="15" x14ac:dyDescent="0.2">
      <c r="A151" s="1" t="s">
        <v>147</v>
      </c>
      <c r="E151" s="5">
        <v>1</v>
      </c>
      <c r="F151" t="str">
        <f t="shared" si="12"/>
        <v xml:space="preserve">"Saudi Arabia": { </v>
      </c>
      <c r="G151" t="s">
        <v>212</v>
      </c>
      <c r="H151" t="str">
        <f t="shared" si="13"/>
        <v>No</v>
      </c>
      <c r="I151" t="s">
        <v>213</v>
      </c>
      <c r="J151" t="str">
        <f t="shared" si="14"/>
        <v>No</v>
      </c>
      <c r="K151" t="s">
        <v>214</v>
      </c>
      <c r="L151" t="str">
        <f t="shared" si="15"/>
        <v>Yes</v>
      </c>
      <c r="M151" t="s">
        <v>215</v>
      </c>
      <c r="N151" t="str">
        <f t="shared" si="16"/>
        <v>"Visa on Arrival"</v>
      </c>
      <c r="O151" t="s">
        <v>216</v>
      </c>
      <c r="P151" t="str">
        <f t="shared" si="17"/>
        <v>"Saudi Arabia": { greenCard: "No", schengen: "No", chinesePassport: "Yes", notes: "Visa on Arrival"},</v>
      </c>
    </row>
    <row r="152" spans="1:16" ht="15" x14ac:dyDescent="0.2">
      <c r="A152" s="1" t="s">
        <v>148</v>
      </c>
      <c r="E152" s="5">
        <v>1</v>
      </c>
      <c r="F152" t="str">
        <f t="shared" si="12"/>
        <v xml:space="preserve">"Senegal": { </v>
      </c>
      <c r="G152" t="s">
        <v>212</v>
      </c>
      <c r="H152" t="str">
        <f t="shared" si="13"/>
        <v>No</v>
      </c>
      <c r="I152" t="s">
        <v>213</v>
      </c>
      <c r="J152" t="str">
        <f t="shared" si="14"/>
        <v>No</v>
      </c>
      <c r="K152" t="s">
        <v>214</v>
      </c>
      <c r="L152" t="str">
        <f t="shared" si="15"/>
        <v>Yes</v>
      </c>
      <c r="M152" t="s">
        <v>215</v>
      </c>
      <c r="N152" t="str">
        <f t="shared" si="16"/>
        <v>"Visa on Arrival"</v>
      </c>
      <c r="O152" t="s">
        <v>216</v>
      </c>
      <c r="P152" t="str">
        <f t="shared" si="17"/>
        <v>"Senegal": { greenCard: "No", schengen: "No", chinesePassport: "Yes", notes: "Visa on Arrival"},</v>
      </c>
    </row>
    <row r="153" spans="1:16" ht="15" x14ac:dyDescent="0.2">
      <c r="A153" s="1" t="s">
        <v>149</v>
      </c>
      <c r="B153" s="2">
        <v>1</v>
      </c>
      <c r="D153" s="4">
        <v>1</v>
      </c>
      <c r="F153" t="str">
        <f t="shared" si="12"/>
        <v xml:space="preserve">"Serbia": { </v>
      </c>
      <c r="G153" t="s">
        <v>212</v>
      </c>
      <c r="H153" t="str">
        <f t="shared" si="13"/>
        <v>Yes</v>
      </c>
      <c r="I153" t="s">
        <v>213</v>
      </c>
      <c r="J153" t="str">
        <f t="shared" si="14"/>
        <v>No</v>
      </c>
      <c r="K153" t="s">
        <v>214</v>
      </c>
      <c r="L153" t="str">
        <f t="shared" si="15"/>
        <v>Yes</v>
      </c>
      <c r="M153" t="s">
        <v>215</v>
      </c>
      <c r="N153" t="str">
        <f t="shared" si="16"/>
        <v>""</v>
      </c>
      <c r="O153" t="s">
        <v>216</v>
      </c>
      <c r="P153" t="str">
        <f t="shared" si="17"/>
        <v>"Serbia": { greenCard: "Yes", schengen: "No", chinesePassport: "Yes", notes: ""},</v>
      </c>
    </row>
    <row r="154" spans="1:16" ht="15" x14ac:dyDescent="0.2">
      <c r="A154" s="1" t="s">
        <v>150</v>
      </c>
      <c r="E154" s="5">
        <v>1</v>
      </c>
      <c r="F154" t="str">
        <f t="shared" si="12"/>
        <v xml:space="preserve">"Seychelles": { </v>
      </c>
      <c r="G154" t="s">
        <v>212</v>
      </c>
      <c r="H154" t="str">
        <f t="shared" si="13"/>
        <v>No</v>
      </c>
      <c r="I154" t="s">
        <v>213</v>
      </c>
      <c r="J154" t="str">
        <f t="shared" si="14"/>
        <v>No</v>
      </c>
      <c r="K154" t="s">
        <v>214</v>
      </c>
      <c r="L154" t="str">
        <f t="shared" si="15"/>
        <v>Yes</v>
      </c>
      <c r="M154" t="s">
        <v>215</v>
      </c>
      <c r="N154" t="str">
        <f t="shared" si="16"/>
        <v>"Visa on Arrival"</v>
      </c>
      <c r="O154" t="s">
        <v>216</v>
      </c>
      <c r="P154" t="str">
        <f t="shared" si="17"/>
        <v>"Seychelles": { greenCard: "No", schengen: "No", chinesePassport: "Yes", notes: "Visa on Arrival"},</v>
      </c>
    </row>
    <row r="155" spans="1:16" ht="15" x14ac:dyDescent="0.2">
      <c r="A155" s="1" t="s">
        <v>151</v>
      </c>
      <c r="E155" s="5">
        <v>1</v>
      </c>
      <c r="F155" t="str">
        <f t="shared" si="12"/>
        <v xml:space="preserve">"Sierra Leone": { </v>
      </c>
      <c r="G155" t="s">
        <v>212</v>
      </c>
      <c r="H155" t="str">
        <f t="shared" si="13"/>
        <v>No</v>
      </c>
      <c r="I155" t="s">
        <v>213</v>
      </c>
      <c r="J155" t="str">
        <f t="shared" si="14"/>
        <v>No</v>
      </c>
      <c r="K155" t="s">
        <v>214</v>
      </c>
      <c r="L155" t="str">
        <f t="shared" si="15"/>
        <v>Yes</v>
      </c>
      <c r="M155" t="s">
        <v>215</v>
      </c>
      <c r="N155" t="str">
        <f t="shared" si="16"/>
        <v>"Visa on Arrival"</v>
      </c>
      <c r="O155" t="s">
        <v>216</v>
      </c>
      <c r="P155" t="str">
        <f t="shared" si="17"/>
        <v>"Sierra Leone": { greenCard: "No", schengen: "No", chinesePassport: "Yes", notes: "Visa on Arrival"},</v>
      </c>
    </row>
    <row r="156" spans="1:16" ht="15" x14ac:dyDescent="0.2">
      <c r="A156" s="1" t="s">
        <v>152</v>
      </c>
      <c r="B156" s="2">
        <v>1</v>
      </c>
      <c r="F156" t="str">
        <f t="shared" si="12"/>
        <v xml:space="preserve">"Singapore": { </v>
      </c>
      <c r="G156" t="s">
        <v>212</v>
      </c>
      <c r="H156" t="str">
        <f t="shared" si="13"/>
        <v>No</v>
      </c>
      <c r="I156" t="s">
        <v>213</v>
      </c>
      <c r="J156" t="str">
        <f t="shared" si="14"/>
        <v>No</v>
      </c>
      <c r="K156" t="s">
        <v>214</v>
      </c>
      <c r="L156" t="str">
        <f t="shared" si="15"/>
        <v>Yes</v>
      </c>
      <c r="M156" t="s">
        <v>215</v>
      </c>
      <c r="N156" t="str">
        <f t="shared" si="16"/>
        <v>""</v>
      </c>
      <c r="O156" t="s">
        <v>216</v>
      </c>
      <c r="P156" t="str">
        <f t="shared" si="17"/>
        <v>"Singapore": { greenCard: "No", schengen: "No", chinesePassport: "Yes", notes: ""},</v>
      </c>
    </row>
    <row r="157" spans="1:16" ht="15" x14ac:dyDescent="0.2">
      <c r="A157" s="1" t="s">
        <v>153</v>
      </c>
      <c r="C157" s="3">
        <v>1</v>
      </c>
      <c r="F157" t="str">
        <f t="shared" si="12"/>
        <v xml:space="preserve">"Slovakia": { </v>
      </c>
      <c r="G157" t="s">
        <v>212</v>
      </c>
      <c r="H157" t="str">
        <f t="shared" si="13"/>
        <v>No</v>
      </c>
      <c r="I157" t="s">
        <v>213</v>
      </c>
      <c r="J157" t="str">
        <f t="shared" si="14"/>
        <v>Yes</v>
      </c>
      <c r="K157" t="s">
        <v>214</v>
      </c>
      <c r="L157" t="str">
        <f t="shared" si="15"/>
        <v>No</v>
      </c>
      <c r="M157" t="s">
        <v>215</v>
      </c>
      <c r="N157" t="str">
        <f t="shared" si="16"/>
        <v>""</v>
      </c>
      <c r="O157" t="s">
        <v>216</v>
      </c>
      <c r="P157" t="str">
        <f t="shared" si="17"/>
        <v>"Slovakia": { greenCard: "No", schengen: "Yes", chinesePassport: "No", notes: ""},</v>
      </c>
    </row>
    <row r="158" spans="1:16" ht="15" x14ac:dyDescent="0.2">
      <c r="A158" s="1" t="s">
        <v>154</v>
      </c>
      <c r="C158" s="3">
        <v>1</v>
      </c>
      <c r="F158" t="str">
        <f t="shared" si="12"/>
        <v xml:space="preserve">"Slovenia": { </v>
      </c>
      <c r="G158" t="s">
        <v>212</v>
      </c>
      <c r="H158" t="str">
        <f t="shared" si="13"/>
        <v>No</v>
      </c>
      <c r="I158" t="s">
        <v>213</v>
      </c>
      <c r="J158" t="str">
        <f t="shared" si="14"/>
        <v>Yes</v>
      </c>
      <c r="K158" t="s">
        <v>214</v>
      </c>
      <c r="L158" t="str">
        <f t="shared" si="15"/>
        <v>No</v>
      </c>
      <c r="M158" t="s">
        <v>215</v>
      </c>
      <c r="N158" t="str">
        <f t="shared" si="16"/>
        <v>""</v>
      </c>
      <c r="O158" t="s">
        <v>216</v>
      </c>
      <c r="P158" t="str">
        <f t="shared" si="17"/>
        <v>"Slovenia": { greenCard: "No", schengen: "Yes", chinesePassport: "No", notes: ""},</v>
      </c>
    </row>
    <row r="159" spans="1:16" ht="15" x14ac:dyDescent="0.2">
      <c r="A159" s="1" t="s">
        <v>155</v>
      </c>
      <c r="F159" t="str">
        <f t="shared" si="12"/>
        <v xml:space="preserve">"Somalia": { </v>
      </c>
      <c r="G159" t="s">
        <v>212</v>
      </c>
      <c r="H159" t="str">
        <f t="shared" si="13"/>
        <v>No</v>
      </c>
      <c r="I159" t="s">
        <v>213</v>
      </c>
      <c r="J159" t="str">
        <f t="shared" si="14"/>
        <v>No</v>
      </c>
      <c r="K159" t="s">
        <v>214</v>
      </c>
      <c r="L159" t="str">
        <f t="shared" si="15"/>
        <v>No</v>
      </c>
      <c r="M159" t="s">
        <v>215</v>
      </c>
      <c r="N159" t="str">
        <f t="shared" si="16"/>
        <v>""</v>
      </c>
      <c r="O159" t="s">
        <v>216</v>
      </c>
      <c r="P159" t="str">
        <f t="shared" si="17"/>
        <v>"Somalia": { greenCard: "No", schengen: "No", chinesePassport: "No", notes: ""},</v>
      </c>
    </row>
    <row r="160" spans="1:16" ht="15" x14ac:dyDescent="0.2">
      <c r="A160" s="1" t="s">
        <v>156</v>
      </c>
      <c r="F160" t="str">
        <f t="shared" si="12"/>
        <v xml:space="preserve">"South Africa": { </v>
      </c>
      <c r="G160" t="s">
        <v>212</v>
      </c>
      <c r="H160" t="str">
        <f t="shared" si="13"/>
        <v>No</v>
      </c>
      <c r="I160" t="s">
        <v>213</v>
      </c>
      <c r="J160" t="str">
        <f t="shared" si="14"/>
        <v>No</v>
      </c>
      <c r="K160" t="s">
        <v>214</v>
      </c>
      <c r="L160" t="str">
        <f t="shared" si="15"/>
        <v>No</v>
      </c>
      <c r="M160" t="s">
        <v>215</v>
      </c>
      <c r="N160" t="str">
        <f t="shared" si="16"/>
        <v>""</v>
      </c>
      <c r="O160" t="s">
        <v>216</v>
      </c>
      <c r="P160" t="str">
        <f t="shared" si="17"/>
        <v>"South Africa": { greenCard: "No", schengen: "No", chinesePassport: "No", notes: ""},</v>
      </c>
    </row>
    <row r="161" spans="1:16" ht="15" x14ac:dyDescent="0.2">
      <c r="A161" s="1" t="s">
        <v>157</v>
      </c>
      <c r="D161" s="4">
        <v>1</v>
      </c>
      <c r="F161" t="str">
        <f t="shared" si="12"/>
        <v xml:space="preserve">"South Korea": { </v>
      </c>
      <c r="G161" t="s">
        <v>212</v>
      </c>
      <c r="H161" t="str">
        <f t="shared" si="13"/>
        <v>Yes</v>
      </c>
      <c r="I161" t="s">
        <v>213</v>
      </c>
      <c r="J161" t="str">
        <f t="shared" si="14"/>
        <v>No</v>
      </c>
      <c r="K161" t="s">
        <v>214</v>
      </c>
      <c r="L161" t="str">
        <f t="shared" si="15"/>
        <v>No</v>
      </c>
      <c r="M161" t="s">
        <v>215</v>
      </c>
      <c r="N161" t="str">
        <f t="shared" si="16"/>
        <v>""</v>
      </c>
      <c r="O161" t="s">
        <v>216</v>
      </c>
      <c r="P161" t="str">
        <f t="shared" si="17"/>
        <v>"South Korea": { greenCard: "Yes", schengen: "No", chinesePassport: "No", notes: ""},</v>
      </c>
    </row>
    <row r="162" spans="1:16" ht="15" x14ac:dyDescent="0.2">
      <c r="A162" s="1" t="s">
        <v>158</v>
      </c>
      <c r="F162" t="str">
        <f t="shared" si="12"/>
        <v xml:space="preserve">"South Sudan": { </v>
      </c>
      <c r="G162" t="s">
        <v>212</v>
      </c>
      <c r="H162" t="str">
        <f t="shared" si="13"/>
        <v>No</v>
      </c>
      <c r="I162" t="s">
        <v>213</v>
      </c>
      <c r="J162" t="str">
        <f t="shared" si="14"/>
        <v>No</v>
      </c>
      <c r="K162" t="s">
        <v>214</v>
      </c>
      <c r="L162" t="str">
        <f t="shared" si="15"/>
        <v>No</v>
      </c>
      <c r="M162" t="s">
        <v>215</v>
      </c>
      <c r="N162" t="str">
        <f t="shared" si="16"/>
        <v>""</v>
      </c>
      <c r="O162" t="s">
        <v>216</v>
      </c>
      <c r="P162" t="str">
        <f t="shared" si="17"/>
        <v>"South Sudan": { greenCard: "No", schengen: "No", chinesePassport: "No", notes: ""},</v>
      </c>
    </row>
    <row r="163" spans="1:16" ht="15" x14ac:dyDescent="0.2">
      <c r="A163" s="1" t="s">
        <v>159</v>
      </c>
      <c r="C163" s="3">
        <v>1</v>
      </c>
      <c r="F163" t="str">
        <f t="shared" si="12"/>
        <v xml:space="preserve">"Spain": { </v>
      </c>
      <c r="G163" t="s">
        <v>212</v>
      </c>
      <c r="H163" t="str">
        <f t="shared" si="13"/>
        <v>No</v>
      </c>
      <c r="I163" t="s">
        <v>213</v>
      </c>
      <c r="J163" t="str">
        <f t="shared" si="14"/>
        <v>Yes</v>
      </c>
      <c r="K163" t="s">
        <v>214</v>
      </c>
      <c r="L163" t="str">
        <f t="shared" si="15"/>
        <v>No</v>
      </c>
      <c r="M163" t="s">
        <v>215</v>
      </c>
      <c r="N163" t="str">
        <f t="shared" si="16"/>
        <v>""</v>
      </c>
      <c r="O163" t="s">
        <v>216</v>
      </c>
      <c r="P163" t="str">
        <f t="shared" si="17"/>
        <v>"Spain": { greenCard: "No", schengen: "Yes", chinesePassport: "No", notes: ""},</v>
      </c>
    </row>
    <row r="164" spans="1:16" ht="15" x14ac:dyDescent="0.2">
      <c r="A164" s="1" t="s">
        <v>160</v>
      </c>
      <c r="E164" s="5">
        <v>1</v>
      </c>
      <c r="F164" t="str">
        <f t="shared" si="12"/>
        <v xml:space="preserve">"Sri Lanka": { </v>
      </c>
      <c r="G164" t="s">
        <v>212</v>
      </c>
      <c r="H164" t="str">
        <f t="shared" si="13"/>
        <v>No</v>
      </c>
      <c r="I164" t="s">
        <v>213</v>
      </c>
      <c r="J164" t="str">
        <f t="shared" si="14"/>
        <v>No</v>
      </c>
      <c r="K164" t="s">
        <v>214</v>
      </c>
      <c r="L164" t="str">
        <f t="shared" si="15"/>
        <v>Yes</v>
      </c>
      <c r="M164" t="s">
        <v>215</v>
      </c>
      <c r="N164" t="str">
        <f t="shared" si="16"/>
        <v>"Visa on Arrival"</v>
      </c>
      <c r="O164" t="s">
        <v>216</v>
      </c>
      <c r="P164" t="str">
        <f t="shared" si="17"/>
        <v>"Sri Lanka": { greenCard: "No", schengen: "No", chinesePassport: "Yes", notes: "Visa on Arrival"},</v>
      </c>
    </row>
    <row r="165" spans="1:16" ht="15" x14ac:dyDescent="0.2">
      <c r="A165" s="1" t="s">
        <v>161</v>
      </c>
      <c r="F165" t="str">
        <f t="shared" si="12"/>
        <v xml:space="preserve">"State of Palestine": { </v>
      </c>
      <c r="G165" t="s">
        <v>212</v>
      </c>
      <c r="H165" t="str">
        <f t="shared" si="13"/>
        <v>No</v>
      </c>
      <c r="I165" t="s">
        <v>213</v>
      </c>
      <c r="J165" t="str">
        <f t="shared" si="14"/>
        <v>No</v>
      </c>
      <c r="K165" t="s">
        <v>214</v>
      </c>
      <c r="L165" t="str">
        <f t="shared" si="15"/>
        <v>No</v>
      </c>
      <c r="M165" t="s">
        <v>215</v>
      </c>
      <c r="N165" t="str">
        <f t="shared" si="16"/>
        <v>""</v>
      </c>
      <c r="O165" t="s">
        <v>216</v>
      </c>
      <c r="P165" t="str">
        <f t="shared" si="17"/>
        <v>"State of Palestine": { greenCard: "No", schengen: "No", chinesePassport: "No", notes: ""},</v>
      </c>
    </row>
    <row r="166" spans="1:16" ht="15" x14ac:dyDescent="0.2">
      <c r="A166" s="1" t="s">
        <v>162</v>
      </c>
      <c r="F166" t="str">
        <f t="shared" si="12"/>
        <v xml:space="preserve">"Sudan": { </v>
      </c>
      <c r="G166" t="s">
        <v>212</v>
      </c>
      <c r="H166" t="str">
        <f t="shared" si="13"/>
        <v>No</v>
      </c>
      <c r="I166" t="s">
        <v>213</v>
      </c>
      <c r="J166" t="str">
        <f t="shared" si="14"/>
        <v>No</v>
      </c>
      <c r="K166" t="s">
        <v>214</v>
      </c>
      <c r="L166" t="str">
        <f t="shared" si="15"/>
        <v>No</v>
      </c>
      <c r="M166" t="s">
        <v>215</v>
      </c>
      <c r="N166" t="str">
        <f t="shared" si="16"/>
        <v>""</v>
      </c>
      <c r="O166" t="s">
        <v>216</v>
      </c>
      <c r="P166" t="str">
        <f t="shared" si="17"/>
        <v>"Sudan": { greenCard: "No", schengen: "No", chinesePassport: "No", notes: ""},</v>
      </c>
    </row>
    <row r="167" spans="1:16" ht="15" x14ac:dyDescent="0.2">
      <c r="A167" s="1" t="s">
        <v>163</v>
      </c>
      <c r="B167" s="2">
        <v>1</v>
      </c>
      <c r="F167" t="str">
        <f t="shared" si="12"/>
        <v xml:space="preserve">"Suriname": { </v>
      </c>
      <c r="G167" t="s">
        <v>212</v>
      </c>
      <c r="H167" t="str">
        <f t="shared" si="13"/>
        <v>No</v>
      </c>
      <c r="I167" t="s">
        <v>213</v>
      </c>
      <c r="J167" t="str">
        <f t="shared" si="14"/>
        <v>No</v>
      </c>
      <c r="K167" t="s">
        <v>214</v>
      </c>
      <c r="L167" t="str">
        <f t="shared" si="15"/>
        <v>Yes</v>
      </c>
      <c r="M167" t="s">
        <v>215</v>
      </c>
      <c r="N167" t="str">
        <f t="shared" si="16"/>
        <v>""</v>
      </c>
      <c r="O167" t="s">
        <v>216</v>
      </c>
      <c r="P167" t="str">
        <f t="shared" si="17"/>
        <v>"Suriname": { greenCard: "No", schengen: "No", chinesePassport: "Yes", notes: ""},</v>
      </c>
    </row>
    <row r="168" spans="1:16" ht="15" x14ac:dyDescent="0.2">
      <c r="A168" s="1" t="s">
        <v>164</v>
      </c>
      <c r="C168" s="3">
        <v>1</v>
      </c>
      <c r="F168" t="str">
        <f t="shared" si="12"/>
        <v xml:space="preserve">"Sweden": { </v>
      </c>
      <c r="G168" t="s">
        <v>212</v>
      </c>
      <c r="H168" t="str">
        <f t="shared" si="13"/>
        <v>No</v>
      </c>
      <c r="I168" t="s">
        <v>213</v>
      </c>
      <c r="J168" t="str">
        <f t="shared" si="14"/>
        <v>Yes</v>
      </c>
      <c r="K168" t="s">
        <v>214</v>
      </c>
      <c r="L168" t="str">
        <f t="shared" si="15"/>
        <v>No</v>
      </c>
      <c r="M168" t="s">
        <v>215</v>
      </c>
      <c r="N168" t="str">
        <f t="shared" si="16"/>
        <v>""</v>
      </c>
      <c r="O168" t="s">
        <v>216</v>
      </c>
      <c r="P168" t="str">
        <f t="shared" si="17"/>
        <v>"Sweden": { greenCard: "No", schengen: "Yes", chinesePassport: "No", notes: ""},</v>
      </c>
    </row>
    <row r="169" spans="1:16" ht="15" x14ac:dyDescent="0.2">
      <c r="A169" s="1" t="s">
        <v>165</v>
      </c>
      <c r="C169" s="3">
        <v>1</v>
      </c>
      <c r="F169" t="str">
        <f t="shared" si="12"/>
        <v xml:space="preserve">"Switzerland": { </v>
      </c>
      <c r="G169" t="s">
        <v>212</v>
      </c>
      <c r="H169" t="str">
        <f t="shared" si="13"/>
        <v>No</v>
      </c>
      <c r="I169" t="s">
        <v>213</v>
      </c>
      <c r="J169" t="str">
        <f t="shared" si="14"/>
        <v>Yes</v>
      </c>
      <c r="K169" t="s">
        <v>214</v>
      </c>
      <c r="L169" t="str">
        <f t="shared" si="15"/>
        <v>No</v>
      </c>
      <c r="M169" t="s">
        <v>215</v>
      </c>
      <c r="N169" t="str">
        <f t="shared" si="16"/>
        <v>""</v>
      </c>
      <c r="O169" t="s">
        <v>216</v>
      </c>
      <c r="P169" t="str">
        <f t="shared" si="17"/>
        <v>"Switzerland": { greenCard: "No", schengen: "Yes", chinesePassport: "No", notes: ""},</v>
      </c>
    </row>
    <row r="170" spans="1:16" ht="15" x14ac:dyDescent="0.2">
      <c r="A170" s="1" t="s">
        <v>166</v>
      </c>
      <c r="F170" t="str">
        <f t="shared" si="12"/>
        <v xml:space="preserve">"Syria": { </v>
      </c>
      <c r="G170" t="s">
        <v>212</v>
      </c>
      <c r="H170" t="str">
        <f t="shared" si="13"/>
        <v>No</v>
      </c>
      <c r="I170" t="s">
        <v>213</v>
      </c>
      <c r="J170" t="str">
        <f t="shared" si="14"/>
        <v>No</v>
      </c>
      <c r="K170" t="s">
        <v>214</v>
      </c>
      <c r="L170" t="str">
        <f t="shared" si="15"/>
        <v>No</v>
      </c>
      <c r="M170" t="s">
        <v>215</v>
      </c>
      <c r="N170" t="str">
        <f t="shared" si="16"/>
        <v>""</v>
      </c>
      <c r="O170" t="s">
        <v>216</v>
      </c>
      <c r="P170" t="str">
        <f t="shared" si="17"/>
        <v>"Syria": { greenCard: "No", schengen: "No", chinesePassport: "No", notes: ""},</v>
      </c>
    </row>
    <row r="171" spans="1:16" ht="15" x14ac:dyDescent="0.2">
      <c r="A171" s="1" t="s">
        <v>167</v>
      </c>
      <c r="F171" t="str">
        <f t="shared" si="12"/>
        <v xml:space="preserve">"Taiwan": { </v>
      </c>
      <c r="G171" t="s">
        <v>212</v>
      </c>
      <c r="H171" t="str">
        <f t="shared" si="13"/>
        <v>No</v>
      </c>
      <c r="I171" t="s">
        <v>213</v>
      </c>
      <c r="J171" t="str">
        <f t="shared" si="14"/>
        <v>No</v>
      </c>
      <c r="K171" t="s">
        <v>214</v>
      </c>
      <c r="L171" t="str">
        <f t="shared" si="15"/>
        <v>No</v>
      </c>
      <c r="M171" t="s">
        <v>215</v>
      </c>
      <c r="N171" t="str">
        <f t="shared" si="16"/>
        <v>""</v>
      </c>
      <c r="O171" t="s">
        <v>216</v>
      </c>
      <c r="P171" t="str">
        <f t="shared" si="17"/>
        <v>"Taiwan": { greenCard: "No", schengen: "No", chinesePassport: "No", notes: ""},</v>
      </c>
    </row>
    <row r="172" spans="1:16" ht="15" x14ac:dyDescent="0.2">
      <c r="A172" s="1" t="s">
        <v>168</v>
      </c>
      <c r="F172" t="str">
        <f t="shared" si="12"/>
        <v xml:space="preserve">"Tajikistan": { </v>
      </c>
      <c r="G172" t="s">
        <v>212</v>
      </c>
      <c r="H172" t="str">
        <f t="shared" si="13"/>
        <v>No</v>
      </c>
      <c r="I172" t="s">
        <v>213</v>
      </c>
      <c r="J172" t="str">
        <f t="shared" si="14"/>
        <v>No</v>
      </c>
      <c r="K172" t="s">
        <v>214</v>
      </c>
      <c r="L172" t="str">
        <f t="shared" si="15"/>
        <v>No</v>
      </c>
      <c r="M172" t="s">
        <v>215</v>
      </c>
      <c r="N172" t="str">
        <f t="shared" si="16"/>
        <v>""</v>
      </c>
      <c r="O172" t="s">
        <v>216</v>
      </c>
      <c r="P172" t="str">
        <f t="shared" si="17"/>
        <v>"Tajikistan": { greenCard: "No", schengen: "No", chinesePassport: "No", notes: ""},</v>
      </c>
    </row>
    <row r="173" spans="1:16" ht="15" x14ac:dyDescent="0.2">
      <c r="A173" s="1" t="s">
        <v>169</v>
      </c>
      <c r="E173" s="5">
        <v>1</v>
      </c>
      <c r="F173" t="str">
        <f t="shared" si="12"/>
        <v xml:space="preserve">"Tanzania": { </v>
      </c>
      <c r="G173" t="s">
        <v>212</v>
      </c>
      <c r="H173" t="str">
        <f t="shared" si="13"/>
        <v>No</v>
      </c>
      <c r="I173" t="s">
        <v>213</v>
      </c>
      <c r="J173" t="str">
        <f t="shared" si="14"/>
        <v>No</v>
      </c>
      <c r="K173" t="s">
        <v>214</v>
      </c>
      <c r="L173" t="str">
        <f t="shared" si="15"/>
        <v>Yes</v>
      </c>
      <c r="M173" t="s">
        <v>215</v>
      </c>
      <c r="N173" t="str">
        <f t="shared" si="16"/>
        <v>"Visa on Arrival"</v>
      </c>
      <c r="O173" t="s">
        <v>216</v>
      </c>
      <c r="P173" t="str">
        <f t="shared" si="17"/>
        <v>"Tanzania": { greenCard: "No", schengen: "No", chinesePassport: "Yes", notes: "Visa on Arrival"},</v>
      </c>
    </row>
    <row r="174" spans="1:16" ht="15" x14ac:dyDescent="0.2">
      <c r="A174" s="1" t="s">
        <v>170</v>
      </c>
      <c r="B174" s="2">
        <v>1</v>
      </c>
      <c r="F174" t="str">
        <f t="shared" si="12"/>
        <v xml:space="preserve">"Thailand": { </v>
      </c>
      <c r="G174" t="s">
        <v>212</v>
      </c>
      <c r="H174" t="str">
        <f t="shared" si="13"/>
        <v>No</v>
      </c>
      <c r="I174" t="s">
        <v>213</v>
      </c>
      <c r="J174" t="str">
        <f t="shared" si="14"/>
        <v>No</v>
      </c>
      <c r="K174" t="s">
        <v>214</v>
      </c>
      <c r="L174" t="str">
        <f t="shared" si="15"/>
        <v>Yes</v>
      </c>
      <c r="M174" t="s">
        <v>215</v>
      </c>
      <c r="N174" t="str">
        <f t="shared" si="16"/>
        <v>""</v>
      </c>
      <c r="O174" t="s">
        <v>216</v>
      </c>
      <c r="P174" t="str">
        <f t="shared" si="17"/>
        <v>"Thailand": { greenCard: "No", schengen: "No", chinesePassport: "Yes", notes: ""},</v>
      </c>
    </row>
    <row r="175" spans="1:16" ht="15" x14ac:dyDescent="0.2">
      <c r="A175" s="1" t="s">
        <v>171</v>
      </c>
      <c r="F175" t="str">
        <f t="shared" si="12"/>
        <v xml:space="preserve">"The Bahamas": { </v>
      </c>
      <c r="G175" t="s">
        <v>212</v>
      </c>
      <c r="H175" t="str">
        <f t="shared" si="13"/>
        <v>No</v>
      </c>
      <c r="I175" t="s">
        <v>213</v>
      </c>
      <c r="J175" t="str">
        <f t="shared" si="14"/>
        <v>No</v>
      </c>
      <c r="K175" t="s">
        <v>214</v>
      </c>
      <c r="L175" t="str">
        <f t="shared" si="15"/>
        <v>No</v>
      </c>
      <c r="M175" t="s">
        <v>215</v>
      </c>
      <c r="N175" t="str">
        <f t="shared" si="16"/>
        <v>""</v>
      </c>
      <c r="O175" t="s">
        <v>216</v>
      </c>
      <c r="P175" t="str">
        <f t="shared" si="17"/>
        <v>"The Bahamas": { greenCard: "No", schengen: "No", chinesePassport: "No", notes: ""},</v>
      </c>
    </row>
    <row r="176" spans="1:16" ht="15" x14ac:dyDescent="0.2">
      <c r="A176" s="1" t="s">
        <v>172</v>
      </c>
      <c r="E176" s="5">
        <v>1</v>
      </c>
      <c r="F176" t="str">
        <f t="shared" si="12"/>
        <v xml:space="preserve">"Timor-Leste": { </v>
      </c>
      <c r="G176" t="s">
        <v>212</v>
      </c>
      <c r="H176" t="str">
        <f t="shared" si="13"/>
        <v>No</v>
      </c>
      <c r="I176" t="s">
        <v>213</v>
      </c>
      <c r="J176" t="str">
        <f t="shared" si="14"/>
        <v>No</v>
      </c>
      <c r="K176" t="s">
        <v>214</v>
      </c>
      <c r="L176" t="str">
        <f t="shared" si="15"/>
        <v>Yes</v>
      </c>
      <c r="M176" t="s">
        <v>215</v>
      </c>
      <c r="N176" t="str">
        <f t="shared" si="16"/>
        <v>"Visa on Arrival"</v>
      </c>
      <c r="O176" t="s">
        <v>216</v>
      </c>
      <c r="P176" t="str">
        <f t="shared" si="17"/>
        <v>"Timor-Leste": { greenCard: "No", schengen: "No", chinesePassport: "Yes", notes: "Visa on Arrival"},</v>
      </c>
    </row>
    <row r="177" spans="1:16" ht="15" x14ac:dyDescent="0.2">
      <c r="A177" s="1" t="s">
        <v>173</v>
      </c>
      <c r="E177" s="5">
        <v>1</v>
      </c>
      <c r="F177" t="str">
        <f t="shared" si="12"/>
        <v xml:space="preserve">"Togo": { </v>
      </c>
      <c r="G177" t="s">
        <v>212</v>
      </c>
      <c r="H177" t="str">
        <f t="shared" si="13"/>
        <v>No</v>
      </c>
      <c r="I177" t="s">
        <v>213</v>
      </c>
      <c r="J177" t="str">
        <f t="shared" si="14"/>
        <v>No</v>
      </c>
      <c r="K177" t="s">
        <v>214</v>
      </c>
      <c r="L177" t="str">
        <f t="shared" si="15"/>
        <v>Yes</v>
      </c>
      <c r="M177" t="s">
        <v>215</v>
      </c>
      <c r="N177" t="str">
        <f t="shared" si="16"/>
        <v>"Visa on Arrival"</v>
      </c>
      <c r="O177" t="s">
        <v>216</v>
      </c>
      <c r="P177" t="str">
        <f t="shared" si="17"/>
        <v>"Togo": { greenCard: "No", schengen: "No", chinesePassport: "Yes", notes: "Visa on Arrival"},</v>
      </c>
    </row>
    <row r="178" spans="1:16" ht="15" x14ac:dyDescent="0.2">
      <c r="A178" s="1" t="s">
        <v>174</v>
      </c>
      <c r="B178" s="2">
        <v>1</v>
      </c>
      <c r="F178" t="str">
        <f t="shared" si="12"/>
        <v xml:space="preserve">"Trinidad and Tobago": { </v>
      </c>
      <c r="G178" t="s">
        <v>212</v>
      </c>
      <c r="H178" t="str">
        <f t="shared" si="13"/>
        <v>No</v>
      </c>
      <c r="I178" t="s">
        <v>213</v>
      </c>
      <c r="J178" t="str">
        <f t="shared" si="14"/>
        <v>No</v>
      </c>
      <c r="K178" t="s">
        <v>214</v>
      </c>
      <c r="L178" t="str">
        <f t="shared" si="15"/>
        <v>Yes</v>
      </c>
      <c r="M178" t="s">
        <v>215</v>
      </c>
      <c r="N178" t="str">
        <f t="shared" si="16"/>
        <v>""</v>
      </c>
      <c r="O178" t="s">
        <v>216</v>
      </c>
      <c r="P178" t="str">
        <f t="shared" si="17"/>
        <v>"Trinidad and Tobago": { greenCard: "No", schengen: "No", chinesePassport: "Yes", notes: ""},</v>
      </c>
    </row>
    <row r="179" spans="1:16" ht="15" x14ac:dyDescent="0.2">
      <c r="A179" s="1" t="s">
        <v>175</v>
      </c>
      <c r="B179" s="2">
        <v>1</v>
      </c>
      <c r="F179" t="str">
        <f t="shared" si="12"/>
        <v xml:space="preserve">"Tunisia": { </v>
      </c>
      <c r="G179" t="s">
        <v>212</v>
      </c>
      <c r="H179" t="str">
        <f t="shared" si="13"/>
        <v>No</v>
      </c>
      <c r="I179" t="s">
        <v>213</v>
      </c>
      <c r="J179" t="str">
        <f t="shared" si="14"/>
        <v>No</v>
      </c>
      <c r="K179" t="s">
        <v>214</v>
      </c>
      <c r="L179" t="str">
        <f t="shared" si="15"/>
        <v>Yes</v>
      </c>
      <c r="M179" t="s">
        <v>215</v>
      </c>
      <c r="N179" t="str">
        <f t="shared" si="16"/>
        <v>""</v>
      </c>
      <c r="O179" t="s">
        <v>216</v>
      </c>
      <c r="P179" t="str">
        <f t="shared" si="17"/>
        <v>"Tunisia": { greenCard: "No", schengen: "No", chinesePassport: "Yes", notes: ""},</v>
      </c>
    </row>
    <row r="180" spans="1:16" ht="15" x14ac:dyDescent="0.2">
      <c r="A180" s="1" t="s">
        <v>176</v>
      </c>
      <c r="F180" t="str">
        <f t="shared" si="12"/>
        <v xml:space="preserve">"Turkey": { </v>
      </c>
      <c r="G180" t="s">
        <v>212</v>
      </c>
      <c r="H180" t="str">
        <f t="shared" si="13"/>
        <v>No</v>
      </c>
      <c r="I180" t="s">
        <v>213</v>
      </c>
      <c r="J180" t="str">
        <f t="shared" si="14"/>
        <v>No</v>
      </c>
      <c r="K180" t="s">
        <v>214</v>
      </c>
      <c r="L180" t="str">
        <f t="shared" si="15"/>
        <v>No</v>
      </c>
      <c r="M180" t="s">
        <v>215</v>
      </c>
      <c r="N180" t="str">
        <f t="shared" si="16"/>
        <v>""</v>
      </c>
      <c r="O180" t="s">
        <v>216</v>
      </c>
      <c r="P180" t="str">
        <f t="shared" si="17"/>
        <v>"Turkey": { greenCard: "No", schengen: "No", chinesePassport: "No", notes: ""},</v>
      </c>
    </row>
    <row r="181" spans="1:16" ht="15" x14ac:dyDescent="0.2">
      <c r="A181" s="1" t="s">
        <v>177</v>
      </c>
      <c r="F181" t="str">
        <f t="shared" si="12"/>
        <v xml:space="preserve">"Turkmenistan": { </v>
      </c>
      <c r="G181" t="s">
        <v>212</v>
      </c>
      <c r="H181" t="str">
        <f t="shared" si="13"/>
        <v>No</v>
      </c>
      <c r="I181" t="s">
        <v>213</v>
      </c>
      <c r="J181" t="str">
        <f t="shared" si="14"/>
        <v>No</v>
      </c>
      <c r="K181" t="s">
        <v>214</v>
      </c>
      <c r="L181" t="str">
        <f t="shared" si="15"/>
        <v>No</v>
      </c>
      <c r="M181" t="s">
        <v>215</v>
      </c>
      <c r="N181" t="str">
        <f t="shared" si="16"/>
        <v>""</v>
      </c>
      <c r="O181" t="s">
        <v>216</v>
      </c>
      <c r="P181" t="str">
        <f t="shared" si="17"/>
        <v>"Turkmenistan": { greenCard: "No", schengen: "No", chinesePassport: "No", notes: ""},</v>
      </c>
    </row>
    <row r="182" spans="1:16" ht="15" x14ac:dyDescent="0.2">
      <c r="A182" s="1" t="s">
        <v>178</v>
      </c>
      <c r="F182" t="str">
        <f t="shared" si="12"/>
        <v xml:space="preserve">"Uganda": { </v>
      </c>
      <c r="G182" t="s">
        <v>212</v>
      </c>
      <c r="H182" t="str">
        <f t="shared" si="13"/>
        <v>No</v>
      </c>
      <c r="I182" t="s">
        <v>213</v>
      </c>
      <c r="J182" t="str">
        <f t="shared" si="14"/>
        <v>No</v>
      </c>
      <c r="K182" t="s">
        <v>214</v>
      </c>
      <c r="L182" t="str">
        <f t="shared" si="15"/>
        <v>No</v>
      </c>
      <c r="M182" t="s">
        <v>215</v>
      </c>
      <c r="N182" t="str">
        <f t="shared" si="16"/>
        <v>""</v>
      </c>
      <c r="O182" t="s">
        <v>216</v>
      </c>
      <c r="P182" t="str">
        <f t="shared" si="17"/>
        <v>"Uganda": { greenCard: "No", schengen: "No", chinesePassport: "No", notes: ""},</v>
      </c>
    </row>
    <row r="183" spans="1:16" ht="15" x14ac:dyDescent="0.2">
      <c r="A183" s="1" t="s">
        <v>179</v>
      </c>
      <c r="F183" t="str">
        <f t="shared" si="12"/>
        <v xml:space="preserve">"Ukraine": { </v>
      </c>
      <c r="G183" t="s">
        <v>212</v>
      </c>
      <c r="H183" t="str">
        <f t="shared" si="13"/>
        <v>No</v>
      </c>
      <c r="I183" t="s">
        <v>213</v>
      </c>
      <c r="J183" t="str">
        <f t="shared" si="14"/>
        <v>No</v>
      </c>
      <c r="K183" t="s">
        <v>214</v>
      </c>
      <c r="L183" t="str">
        <f t="shared" si="15"/>
        <v>No</v>
      </c>
      <c r="M183" t="s">
        <v>215</v>
      </c>
      <c r="N183" t="str">
        <f t="shared" si="16"/>
        <v>""</v>
      </c>
      <c r="O183" t="s">
        <v>216</v>
      </c>
      <c r="P183" t="str">
        <f t="shared" si="17"/>
        <v>"Ukraine": { greenCard: "No", schengen: "No", chinesePassport: "No", notes: ""},</v>
      </c>
    </row>
    <row r="184" spans="1:16" ht="15" x14ac:dyDescent="0.2">
      <c r="A184" s="1" t="s">
        <v>180</v>
      </c>
      <c r="B184" s="2">
        <v>1</v>
      </c>
      <c r="F184" t="str">
        <f t="shared" si="12"/>
        <v xml:space="preserve">"United Arab Emirates": { </v>
      </c>
      <c r="G184" t="s">
        <v>212</v>
      </c>
      <c r="H184" t="str">
        <f t="shared" si="13"/>
        <v>No</v>
      </c>
      <c r="I184" t="s">
        <v>213</v>
      </c>
      <c r="J184" t="str">
        <f t="shared" si="14"/>
        <v>No</v>
      </c>
      <c r="K184" t="s">
        <v>214</v>
      </c>
      <c r="L184" t="str">
        <f t="shared" si="15"/>
        <v>Yes</v>
      </c>
      <c r="M184" t="s">
        <v>215</v>
      </c>
      <c r="N184" t="str">
        <f t="shared" si="16"/>
        <v>""</v>
      </c>
      <c r="O184" t="s">
        <v>216</v>
      </c>
      <c r="P184" t="str">
        <f t="shared" si="17"/>
        <v>"United Arab Emirates": { greenCard: "No", schengen: "No", chinesePassport: "Yes", notes: ""},</v>
      </c>
    </row>
    <row r="185" spans="1:16" ht="15" x14ac:dyDescent="0.2">
      <c r="A185" s="1" t="s">
        <v>181</v>
      </c>
      <c r="F185" t="str">
        <f t="shared" si="12"/>
        <v xml:space="preserve">"United Kingdom": { </v>
      </c>
      <c r="G185" t="s">
        <v>212</v>
      </c>
      <c r="H185" t="str">
        <f t="shared" si="13"/>
        <v>No</v>
      </c>
      <c r="I185" t="s">
        <v>213</v>
      </c>
      <c r="J185" t="str">
        <f t="shared" si="14"/>
        <v>No</v>
      </c>
      <c r="K185" t="s">
        <v>214</v>
      </c>
      <c r="L185" t="str">
        <f t="shared" si="15"/>
        <v>No</v>
      </c>
      <c r="M185" t="s">
        <v>215</v>
      </c>
      <c r="N185" t="str">
        <f t="shared" si="16"/>
        <v>""</v>
      </c>
      <c r="O185" t="s">
        <v>216</v>
      </c>
      <c r="P185" t="str">
        <f t="shared" si="17"/>
        <v>"United Kingdom": { greenCard: "No", schengen: "No", chinesePassport: "No", notes: ""},</v>
      </c>
    </row>
    <row r="186" spans="1:16" ht="15" x14ac:dyDescent="0.2">
      <c r="A186" s="1" t="s">
        <v>217</v>
      </c>
      <c r="D186" s="4">
        <v>1</v>
      </c>
      <c r="F186" t="str">
        <f t="shared" si="12"/>
        <v xml:space="preserve">"United States of America": { </v>
      </c>
      <c r="G186" t="s">
        <v>212</v>
      </c>
      <c r="H186" t="str">
        <f t="shared" si="13"/>
        <v>Yes</v>
      </c>
      <c r="I186" t="s">
        <v>213</v>
      </c>
      <c r="J186" t="str">
        <f t="shared" si="14"/>
        <v>No</v>
      </c>
      <c r="K186" t="s">
        <v>214</v>
      </c>
      <c r="L186" t="str">
        <f t="shared" si="15"/>
        <v>No</v>
      </c>
      <c r="M186" t="s">
        <v>215</v>
      </c>
      <c r="N186" t="str">
        <f t="shared" si="16"/>
        <v>""</v>
      </c>
      <c r="O186" t="s">
        <v>216</v>
      </c>
      <c r="P186" t="str">
        <f t="shared" si="17"/>
        <v>"United States of America": { greenCard: "Yes", schengen: "No", chinesePassport: "No", notes: ""},</v>
      </c>
    </row>
    <row r="187" spans="1:16" ht="15" x14ac:dyDescent="0.2">
      <c r="A187" s="1" t="s">
        <v>182</v>
      </c>
      <c r="F187" t="str">
        <f t="shared" si="12"/>
        <v xml:space="preserve">"Uruguay": { </v>
      </c>
      <c r="G187" t="s">
        <v>212</v>
      </c>
      <c r="H187" t="str">
        <f t="shared" si="13"/>
        <v>No</v>
      </c>
      <c r="I187" t="s">
        <v>213</v>
      </c>
      <c r="J187" t="str">
        <f t="shared" si="14"/>
        <v>No</v>
      </c>
      <c r="K187" t="s">
        <v>214</v>
      </c>
      <c r="L187" t="str">
        <f t="shared" si="15"/>
        <v>No</v>
      </c>
      <c r="M187" t="s">
        <v>215</v>
      </c>
      <c r="N187" t="str">
        <f t="shared" si="16"/>
        <v>""</v>
      </c>
      <c r="O187" t="s">
        <v>216</v>
      </c>
      <c r="P187" t="str">
        <f t="shared" si="17"/>
        <v>"Uruguay": { greenCard: "No", schengen: "No", chinesePassport: "No", notes: ""},</v>
      </c>
    </row>
    <row r="188" spans="1:16" ht="15" x14ac:dyDescent="0.2">
      <c r="A188" s="1" t="s">
        <v>183</v>
      </c>
      <c r="B188" s="2">
        <v>1</v>
      </c>
      <c r="F188" t="str">
        <f t="shared" si="12"/>
        <v xml:space="preserve">"Uzbekistan": { </v>
      </c>
      <c r="G188" t="s">
        <v>212</v>
      </c>
      <c r="H188" t="str">
        <f t="shared" si="13"/>
        <v>No</v>
      </c>
      <c r="I188" t="s">
        <v>213</v>
      </c>
      <c r="J188" t="str">
        <f t="shared" si="14"/>
        <v>No</v>
      </c>
      <c r="K188" t="s">
        <v>214</v>
      </c>
      <c r="L188" t="str">
        <f t="shared" si="15"/>
        <v>Yes</v>
      </c>
      <c r="M188" t="s">
        <v>215</v>
      </c>
      <c r="N188" t="str">
        <f t="shared" si="16"/>
        <v>""</v>
      </c>
      <c r="O188" t="s">
        <v>216</v>
      </c>
      <c r="P188" t="str">
        <f t="shared" si="17"/>
        <v>"Uzbekistan": { greenCard: "No", schengen: "No", chinesePassport: "Yes", notes: ""},</v>
      </c>
    </row>
    <row r="189" spans="1:16" ht="15" x14ac:dyDescent="0.2">
      <c r="A189" s="1" t="s">
        <v>184</v>
      </c>
      <c r="F189" t="str">
        <f t="shared" si="12"/>
        <v xml:space="preserve">"Venezuela": { </v>
      </c>
      <c r="G189" t="s">
        <v>212</v>
      </c>
      <c r="H189" t="str">
        <f t="shared" si="13"/>
        <v>No</v>
      </c>
      <c r="I189" t="s">
        <v>213</v>
      </c>
      <c r="J189" t="str">
        <f t="shared" si="14"/>
        <v>No</v>
      </c>
      <c r="K189" t="s">
        <v>214</v>
      </c>
      <c r="L189" t="str">
        <f t="shared" si="15"/>
        <v>No</v>
      </c>
      <c r="M189" t="s">
        <v>215</v>
      </c>
      <c r="N189" t="str">
        <f t="shared" si="16"/>
        <v>""</v>
      </c>
      <c r="O189" t="s">
        <v>216</v>
      </c>
      <c r="P189" t="str">
        <f t="shared" si="17"/>
        <v>"Venezuela": { greenCard: "No", schengen: "No", chinesePassport: "No", notes: ""},</v>
      </c>
    </row>
    <row r="190" spans="1:16" ht="15" x14ac:dyDescent="0.2">
      <c r="A190" s="1" t="s">
        <v>185</v>
      </c>
      <c r="F190" t="str">
        <f t="shared" si="12"/>
        <v xml:space="preserve">"Vietnam": { </v>
      </c>
      <c r="G190" t="s">
        <v>212</v>
      </c>
      <c r="H190" t="str">
        <f t="shared" si="13"/>
        <v>No</v>
      </c>
      <c r="I190" t="s">
        <v>213</v>
      </c>
      <c r="J190" t="str">
        <f t="shared" si="14"/>
        <v>No</v>
      </c>
      <c r="K190" t="s">
        <v>214</v>
      </c>
      <c r="L190" t="str">
        <f t="shared" si="15"/>
        <v>No</v>
      </c>
      <c r="M190" t="s">
        <v>215</v>
      </c>
      <c r="N190" t="str">
        <f t="shared" si="16"/>
        <v>""</v>
      </c>
      <c r="O190" t="s">
        <v>216</v>
      </c>
      <c r="P190" t="str">
        <f t="shared" si="17"/>
        <v>"Vietnam": { greenCard: "No", schengen: "No", chinesePassport: "No", notes: ""},</v>
      </c>
    </row>
    <row r="191" spans="1:16" ht="15" x14ac:dyDescent="0.2">
      <c r="A191" s="1" t="s">
        <v>186</v>
      </c>
      <c r="F191" t="str">
        <f t="shared" si="12"/>
        <v xml:space="preserve">"Western Sahara": { </v>
      </c>
      <c r="G191" t="s">
        <v>212</v>
      </c>
      <c r="H191" t="str">
        <f t="shared" si="13"/>
        <v>No</v>
      </c>
      <c r="I191" t="s">
        <v>213</v>
      </c>
      <c r="J191" t="str">
        <f t="shared" si="14"/>
        <v>No</v>
      </c>
      <c r="K191" t="s">
        <v>214</v>
      </c>
      <c r="L191" t="str">
        <f t="shared" si="15"/>
        <v>No</v>
      </c>
      <c r="M191" t="s">
        <v>215</v>
      </c>
      <c r="N191" t="str">
        <f t="shared" si="16"/>
        <v>""</v>
      </c>
      <c r="O191" t="s">
        <v>216</v>
      </c>
      <c r="P191" t="str">
        <f t="shared" si="17"/>
        <v>"Western Sahara": { greenCard: "No", schengen: "No", chinesePassport: "No", notes: ""},</v>
      </c>
    </row>
    <row r="192" spans="1:16" ht="15" x14ac:dyDescent="0.2">
      <c r="A192" s="1" t="s">
        <v>187</v>
      </c>
      <c r="F192" t="str">
        <f t="shared" si="12"/>
        <v xml:space="preserve">"Yemen": { </v>
      </c>
      <c r="G192" t="s">
        <v>212</v>
      </c>
      <c r="H192" t="str">
        <f t="shared" si="13"/>
        <v>No</v>
      </c>
      <c r="I192" t="s">
        <v>213</v>
      </c>
      <c r="J192" t="str">
        <f t="shared" si="14"/>
        <v>No</v>
      </c>
      <c r="K192" t="s">
        <v>214</v>
      </c>
      <c r="L192" t="str">
        <f t="shared" si="15"/>
        <v>No</v>
      </c>
      <c r="M192" t="s">
        <v>215</v>
      </c>
      <c r="N192" t="str">
        <f t="shared" si="16"/>
        <v>""</v>
      </c>
      <c r="O192" t="s">
        <v>216</v>
      </c>
      <c r="P192" t="str">
        <f t="shared" si="17"/>
        <v>"Yemen": { greenCard: "No", schengen: "No", chinesePassport: "No", notes: ""},</v>
      </c>
    </row>
    <row r="193" spans="1:16" ht="15" x14ac:dyDescent="0.2">
      <c r="A193" s="1" t="s">
        <v>188</v>
      </c>
      <c r="B193" s="2">
        <v>1</v>
      </c>
      <c r="F193" t="str">
        <f t="shared" si="12"/>
        <v xml:space="preserve">"Zambia": { </v>
      </c>
      <c r="G193" t="s">
        <v>212</v>
      </c>
      <c r="H193" t="str">
        <f t="shared" si="13"/>
        <v>No</v>
      </c>
      <c r="I193" t="s">
        <v>213</v>
      </c>
      <c r="J193" t="str">
        <f t="shared" si="14"/>
        <v>No</v>
      </c>
      <c r="K193" t="s">
        <v>214</v>
      </c>
      <c r="L193" t="str">
        <f t="shared" si="15"/>
        <v>Yes</v>
      </c>
      <c r="M193" t="s">
        <v>215</v>
      </c>
      <c r="N193" t="str">
        <f t="shared" si="16"/>
        <v>""</v>
      </c>
      <c r="O193" t="s">
        <v>216</v>
      </c>
      <c r="P193" t="str">
        <f t="shared" si="17"/>
        <v>"Zambia": { greenCard: "No", schengen: "No", chinesePassport: "Yes", notes: ""},</v>
      </c>
    </row>
    <row r="194" spans="1:16" ht="15" x14ac:dyDescent="0.2">
      <c r="A194" s="1" t="s">
        <v>189</v>
      </c>
      <c r="E194" s="5">
        <v>1</v>
      </c>
      <c r="F194" t="str">
        <f t="shared" si="12"/>
        <v xml:space="preserve">"Zimbabwe": { </v>
      </c>
      <c r="G194" t="s">
        <v>212</v>
      </c>
      <c r="H194" t="str">
        <f t="shared" si="13"/>
        <v>No</v>
      </c>
      <c r="I194" t="s">
        <v>213</v>
      </c>
      <c r="J194" t="str">
        <f t="shared" si="14"/>
        <v>No</v>
      </c>
      <c r="K194" t="s">
        <v>214</v>
      </c>
      <c r="L194" t="str">
        <f t="shared" si="15"/>
        <v>Yes</v>
      </c>
      <c r="M194" t="s">
        <v>215</v>
      </c>
      <c r="N194" t="str">
        <f t="shared" si="16"/>
        <v>"Visa on Arrival"</v>
      </c>
      <c r="O194" t="s">
        <v>216</v>
      </c>
      <c r="P194" t="str">
        <f t="shared" si="17"/>
        <v>"Zimbabwe": { greenCard: "No", schengen: "No", chinesePassport: "Yes", notes: "Visa on Arrival"},</v>
      </c>
    </row>
    <row r="195" spans="1:16" ht="15" x14ac:dyDescent="0.2">
      <c r="A195" s="1" t="s">
        <v>190</v>
      </c>
      <c r="B195" s="2">
        <v>1</v>
      </c>
      <c r="F195" t="str">
        <f t="shared" ref="F195:F213" si="18">""""&amp;A195&amp;""": { "</f>
        <v xml:space="preserve">"Northern Mariana Islands": { </v>
      </c>
      <c r="G195" t="s">
        <v>212</v>
      </c>
      <c r="H195" t="str">
        <f t="shared" ref="H195:H212" si="19">IF(D195=1,"Yes","No")</f>
        <v>No</v>
      </c>
      <c r="I195" t="s">
        <v>213</v>
      </c>
      <c r="J195" t="str">
        <f t="shared" ref="J195:J212" si="20">IF(C195=1,"Yes","No")</f>
        <v>No</v>
      </c>
      <c r="K195" t="s">
        <v>214</v>
      </c>
      <c r="L195" t="str">
        <f t="shared" ref="L195:L212" si="21">IF(OR(B195=1,E195=1),"Yes","No")</f>
        <v>Yes</v>
      </c>
      <c r="M195" t="s">
        <v>215</v>
      </c>
      <c r="N195" t="str">
        <f t="shared" ref="N195:N212" si="22">IF(E195=1,"""Visa on Arrival""","""""")</f>
        <v>""</v>
      </c>
      <c r="O195" t="s">
        <v>216</v>
      </c>
      <c r="P195" t="str">
        <f t="shared" ref="P195:P212" si="23">_xlfn.CONCAT(F195:O195)</f>
        <v>"Northern Mariana Islands": { greenCard: "No", schengen: "No", chinesePassport: "Yes", notes: ""},</v>
      </c>
    </row>
    <row r="196" spans="1:16" ht="15" x14ac:dyDescent="0.2">
      <c r="A196" s="1" t="s">
        <v>191</v>
      </c>
      <c r="B196" s="2">
        <v>1</v>
      </c>
      <c r="F196" t="str">
        <f t="shared" si="18"/>
        <v xml:space="preserve">"Kiribati": { </v>
      </c>
      <c r="G196" t="s">
        <v>212</v>
      </c>
      <c r="H196" t="str">
        <f t="shared" si="19"/>
        <v>No</v>
      </c>
      <c r="I196" t="s">
        <v>213</v>
      </c>
      <c r="J196" t="str">
        <f t="shared" si="20"/>
        <v>No</v>
      </c>
      <c r="K196" t="s">
        <v>214</v>
      </c>
      <c r="L196" t="str">
        <f t="shared" si="21"/>
        <v>Yes</v>
      </c>
      <c r="M196" t="s">
        <v>215</v>
      </c>
      <c r="N196" t="str">
        <f t="shared" si="22"/>
        <v>""</v>
      </c>
      <c r="O196" t="s">
        <v>216</v>
      </c>
      <c r="P196" t="str">
        <f t="shared" si="23"/>
        <v>"Kiribati": { greenCard: "No", schengen: "No", chinesePassport: "Yes", notes: ""},</v>
      </c>
    </row>
    <row r="197" spans="1:16" ht="15" x14ac:dyDescent="0.2">
      <c r="A197" s="1" t="s">
        <v>192</v>
      </c>
      <c r="B197" s="2">
        <v>1</v>
      </c>
      <c r="F197" t="str">
        <f t="shared" si="18"/>
        <v xml:space="preserve">"Micronesia": { </v>
      </c>
      <c r="G197" t="s">
        <v>212</v>
      </c>
      <c r="H197" t="str">
        <f t="shared" si="19"/>
        <v>No</v>
      </c>
      <c r="I197" t="s">
        <v>213</v>
      </c>
      <c r="J197" t="str">
        <f t="shared" si="20"/>
        <v>No</v>
      </c>
      <c r="K197" t="s">
        <v>214</v>
      </c>
      <c r="L197" t="str">
        <f t="shared" si="21"/>
        <v>Yes</v>
      </c>
      <c r="M197" t="s">
        <v>215</v>
      </c>
      <c r="N197" t="str">
        <f t="shared" si="22"/>
        <v>""</v>
      </c>
      <c r="O197" t="s">
        <v>216</v>
      </c>
      <c r="P197" t="str">
        <f t="shared" si="23"/>
        <v>"Micronesia": { greenCard: "No", schengen: "No", chinesePassport: "Yes", notes: ""},</v>
      </c>
    </row>
    <row r="198" spans="1:16" ht="15" x14ac:dyDescent="0.2">
      <c r="A198" s="1" t="s">
        <v>193</v>
      </c>
      <c r="B198" s="2">
        <v>1</v>
      </c>
      <c r="D198" s="4">
        <v>1</v>
      </c>
      <c r="F198" t="str">
        <f t="shared" si="18"/>
        <v xml:space="preserve">"Bahamas": { </v>
      </c>
      <c r="G198" t="s">
        <v>212</v>
      </c>
      <c r="H198" t="str">
        <f t="shared" si="19"/>
        <v>Yes</v>
      </c>
      <c r="I198" t="s">
        <v>213</v>
      </c>
      <c r="J198" t="str">
        <f t="shared" si="20"/>
        <v>No</v>
      </c>
      <c r="K198" t="s">
        <v>214</v>
      </c>
      <c r="L198" t="str">
        <f t="shared" si="21"/>
        <v>Yes</v>
      </c>
      <c r="M198" t="s">
        <v>215</v>
      </c>
      <c r="N198" t="str">
        <f t="shared" si="22"/>
        <v>""</v>
      </c>
      <c r="O198" t="s">
        <v>216</v>
      </c>
      <c r="P198" t="str">
        <f t="shared" si="23"/>
        <v>"Bahamas": { greenCard: "Yes", schengen: "No", chinesePassport: "Yes", notes: ""},</v>
      </c>
    </row>
    <row r="199" spans="1:16" ht="15" x14ac:dyDescent="0.2">
      <c r="A199" s="1" t="s">
        <v>194</v>
      </c>
      <c r="B199" s="2">
        <v>1</v>
      </c>
      <c r="F199" t="str">
        <f t="shared" si="18"/>
        <v xml:space="preserve">"Cook Islands": { </v>
      </c>
      <c r="G199" t="s">
        <v>212</v>
      </c>
      <c r="H199" t="str">
        <f t="shared" si="19"/>
        <v>No</v>
      </c>
      <c r="I199" t="s">
        <v>213</v>
      </c>
      <c r="J199" t="str">
        <f t="shared" si="20"/>
        <v>No</v>
      </c>
      <c r="K199" t="s">
        <v>214</v>
      </c>
      <c r="L199" t="str">
        <f t="shared" si="21"/>
        <v>Yes</v>
      </c>
      <c r="M199" t="s">
        <v>215</v>
      </c>
      <c r="N199" t="str">
        <f t="shared" si="22"/>
        <v>""</v>
      </c>
      <c r="O199" t="s">
        <v>216</v>
      </c>
      <c r="P199" t="str">
        <f t="shared" si="23"/>
        <v>"Cook Islands": { greenCard: "No", schengen: "No", chinesePassport: "Yes", notes: ""},</v>
      </c>
    </row>
    <row r="200" spans="1:16" ht="15" x14ac:dyDescent="0.2">
      <c r="A200" s="1" t="s">
        <v>195</v>
      </c>
      <c r="B200" s="2">
        <v>1</v>
      </c>
      <c r="F200" t="str">
        <f t="shared" si="18"/>
        <v xml:space="preserve">"Fiji": { </v>
      </c>
      <c r="G200" t="s">
        <v>212</v>
      </c>
      <c r="H200" t="str">
        <f t="shared" si="19"/>
        <v>No</v>
      </c>
      <c r="I200" t="s">
        <v>213</v>
      </c>
      <c r="J200" t="str">
        <f t="shared" si="20"/>
        <v>No</v>
      </c>
      <c r="K200" t="s">
        <v>214</v>
      </c>
      <c r="L200" t="str">
        <f t="shared" si="21"/>
        <v>Yes</v>
      </c>
      <c r="M200" t="s">
        <v>215</v>
      </c>
      <c r="N200" t="str">
        <f t="shared" si="22"/>
        <v>""</v>
      </c>
      <c r="O200" t="s">
        <v>216</v>
      </c>
      <c r="P200" t="str">
        <f t="shared" si="23"/>
        <v>"Fiji": { greenCard: "No", schengen: "No", chinesePassport: "Yes", notes: ""},</v>
      </c>
    </row>
    <row r="201" spans="1:16" ht="15" x14ac:dyDescent="0.2">
      <c r="A201" s="1" t="s">
        <v>196</v>
      </c>
      <c r="B201" s="2">
        <v>1</v>
      </c>
      <c r="F201" t="str">
        <f t="shared" si="18"/>
        <v xml:space="preserve">"Vanuatu": { </v>
      </c>
      <c r="G201" t="s">
        <v>212</v>
      </c>
      <c r="H201" t="str">
        <f t="shared" si="19"/>
        <v>No</v>
      </c>
      <c r="I201" t="s">
        <v>213</v>
      </c>
      <c r="J201" t="str">
        <f t="shared" si="20"/>
        <v>No</v>
      </c>
      <c r="K201" t="s">
        <v>214</v>
      </c>
      <c r="L201" t="str">
        <f t="shared" si="21"/>
        <v>Yes</v>
      </c>
      <c r="M201" t="s">
        <v>215</v>
      </c>
      <c r="N201" t="str">
        <f t="shared" si="22"/>
        <v>""</v>
      </c>
      <c r="O201" t="s">
        <v>216</v>
      </c>
      <c r="P201" t="str">
        <f t="shared" si="23"/>
        <v>"Vanuatu": { greenCard: "No", schengen: "No", chinesePassport: "Yes", notes: ""},</v>
      </c>
    </row>
    <row r="202" spans="1:16" ht="15" x14ac:dyDescent="0.2">
      <c r="A202" s="1" t="s">
        <v>197</v>
      </c>
      <c r="B202" s="2">
        <v>1</v>
      </c>
      <c r="F202" t="str">
        <f t="shared" si="18"/>
        <v xml:space="preserve">"Samoa": { </v>
      </c>
      <c r="G202" t="s">
        <v>212</v>
      </c>
      <c r="H202" t="str">
        <f t="shared" si="19"/>
        <v>No</v>
      </c>
      <c r="I202" t="s">
        <v>213</v>
      </c>
      <c r="J202" t="str">
        <f t="shared" si="20"/>
        <v>No</v>
      </c>
      <c r="K202" t="s">
        <v>214</v>
      </c>
      <c r="L202" t="str">
        <f t="shared" si="21"/>
        <v>Yes</v>
      </c>
      <c r="M202" t="s">
        <v>215</v>
      </c>
      <c r="N202" t="str">
        <f t="shared" si="22"/>
        <v>""</v>
      </c>
      <c r="O202" t="s">
        <v>216</v>
      </c>
      <c r="P202" t="str">
        <f t="shared" si="23"/>
        <v>"Samoa": { greenCard: "No", schengen: "No", chinesePassport: "Yes", notes: ""},</v>
      </c>
    </row>
    <row r="203" spans="1:16" ht="15" x14ac:dyDescent="0.2">
      <c r="A203" s="1" t="s">
        <v>198</v>
      </c>
      <c r="B203" s="2">
        <v>1</v>
      </c>
      <c r="F203" t="str">
        <f t="shared" si="18"/>
        <v xml:space="preserve">"Niue": { </v>
      </c>
      <c r="G203" t="s">
        <v>212</v>
      </c>
      <c r="H203" t="str">
        <f t="shared" si="19"/>
        <v>No</v>
      </c>
      <c r="I203" t="s">
        <v>213</v>
      </c>
      <c r="J203" t="str">
        <f t="shared" si="20"/>
        <v>No</v>
      </c>
      <c r="K203" t="s">
        <v>214</v>
      </c>
      <c r="L203" t="str">
        <f t="shared" si="21"/>
        <v>Yes</v>
      </c>
      <c r="M203" t="s">
        <v>215</v>
      </c>
      <c r="N203" t="str">
        <f t="shared" si="22"/>
        <v>""</v>
      </c>
      <c r="O203" t="s">
        <v>216</v>
      </c>
      <c r="P203" t="str">
        <f t="shared" si="23"/>
        <v>"Niue": { greenCard: "No", schengen: "No", chinesePassport: "Yes", notes: ""},</v>
      </c>
    </row>
    <row r="204" spans="1:16" ht="15" x14ac:dyDescent="0.2">
      <c r="A204" s="1" t="s">
        <v>76</v>
      </c>
      <c r="C204" s="3">
        <v>1</v>
      </c>
      <c r="F204" t="str">
        <f t="shared" si="18"/>
        <v xml:space="preserve">"Iceland": { </v>
      </c>
      <c r="G204" t="s">
        <v>212</v>
      </c>
      <c r="H204" t="str">
        <f t="shared" si="19"/>
        <v>No</v>
      </c>
      <c r="I204" t="s">
        <v>213</v>
      </c>
      <c r="J204" t="str">
        <f t="shared" si="20"/>
        <v>Yes</v>
      </c>
      <c r="K204" t="s">
        <v>214</v>
      </c>
      <c r="L204" t="str">
        <f t="shared" si="21"/>
        <v>No</v>
      </c>
      <c r="M204" t="s">
        <v>215</v>
      </c>
      <c r="N204" t="str">
        <f t="shared" si="22"/>
        <v>""</v>
      </c>
      <c r="O204" t="s">
        <v>216</v>
      </c>
      <c r="P204" t="str">
        <f t="shared" si="23"/>
        <v>"Iceland": { greenCard: "No", schengen: "Yes", chinesePassport: "No", notes: ""},</v>
      </c>
    </row>
    <row r="205" spans="1:16" ht="15" x14ac:dyDescent="0.2">
      <c r="A205" s="1" t="s">
        <v>202</v>
      </c>
      <c r="D205" s="4">
        <v>1</v>
      </c>
      <c r="F205" t="str">
        <f t="shared" si="18"/>
        <v xml:space="preserve">"Anguilla": { </v>
      </c>
      <c r="G205" t="s">
        <v>212</v>
      </c>
      <c r="H205" t="str">
        <f t="shared" si="19"/>
        <v>Yes</v>
      </c>
      <c r="I205" t="s">
        <v>213</v>
      </c>
      <c r="J205" t="str">
        <f t="shared" si="20"/>
        <v>No</v>
      </c>
      <c r="K205" t="s">
        <v>214</v>
      </c>
      <c r="L205" t="str">
        <f t="shared" si="21"/>
        <v>No</v>
      </c>
      <c r="M205" t="s">
        <v>215</v>
      </c>
      <c r="N205" t="str">
        <f t="shared" si="22"/>
        <v>""</v>
      </c>
      <c r="O205" t="s">
        <v>216</v>
      </c>
      <c r="P205" t="str">
        <f t="shared" si="23"/>
        <v>"Anguilla": { greenCard: "Yes", schengen: "No", chinesePassport: "No", notes: ""},</v>
      </c>
    </row>
    <row r="206" spans="1:16" ht="15" x14ac:dyDescent="0.2">
      <c r="A206" s="1" t="s">
        <v>203</v>
      </c>
      <c r="D206" s="4">
        <v>1</v>
      </c>
      <c r="F206" t="str">
        <f t="shared" si="18"/>
        <v xml:space="preserve">"British Virgin Islands": { </v>
      </c>
      <c r="G206" t="s">
        <v>212</v>
      </c>
      <c r="H206" t="str">
        <f t="shared" si="19"/>
        <v>Yes</v>
      </c>
      <c r="I206" t="s">
        <v>213</v>
      </c>
      <c r="J206" t="str">
        <f t="shared" si="20"/>
        <v>No</v>
      </c>
      <c r="K206" t="s">
        <v>214</v>
      </c>
      <c r="L206" t="str">
        <f t="shared" si="21"/>
        <v>No</v>
      </c>
      <c r="M206" t="s">
        <v>215</v>
      </c>
      <c r="N206" t="str">
        <f t="shared" si="22"/>
        <v>""</v>
      </c>
      <c r="O206" t="s">
        <v>216</v>
      </c>
      <c r="P206" t="str">
        <f t="shared" si="23"/>
        <v>"British Virgin Islands": { greenCard: "Yes", schengen: "No", chinesePassport: "No", notes: ""},</v>
      </c>
    </row>
    <row r="207" spans="1:16" ht="15" x14ac:dyDescent="0.2">
      <c r="A207" s="1" t="s">
        <v>204</v>
      </c>
      <c r="D207" s="4">
        <v>1</v>
      </c>
      <c r="F207" t="str">
        <f t="shared" si="18"/>
        <v xml:space="preserve">"Cayman Islands": { </v>
      </c>
      <c r="G207" t="s">
        <v>212</v>
      </c>
      <c r="H207" t="str">
        <f t="shared" si="19"/>
        <v>Yes</v>
      </c>
      <c r="I207" t="s">
        <v>213</v>
      </c>
      <c r="J207" t="str">
        <f t="shared" si="20"/>
        <v>No</v>
      </c>
      <c r="K207" t="s">
        <v>214</v>
      </c>
      <c r="L207" t="str">
        <f t="shared" si="21"/>
        <v>No</v>
      </c>
      <c r="M207" t="s">
        <v>215</v>
      </c>
      <c r="N207" t="str">
        <f t="shared" si="22"/>
        <v>""</v>
      </c>
      <c r="O207" t="s">
        <v>216</v>
      </c>
      <c r="P207" t="str">
        <f t="shared" si="23"/>
        <v>"Cayman Islands": { greenCard: "Yes", schengen: "No", chinesePassport: "No", notes: ""},</v>
      </c>
    </row>
    <row r="208" spans="1:16" ht="15" x14ac:dyDescent="0.2">
      <c r="A208" s="1" t="s">
        <v>205</v>
      </c>
      <c r="D208" s="4">
        <v>1</v>
      </c>
      <c r="F208" t="str">
        <f t="shared" si="18"/>
        <v xml:space="preserve">"Bermuda": { </v>
      </c>
      <c r="G208" t="s">
        <v>212</v>
      </c>
      <c r="H208" t="str">
        <f t="shared" si="19"/>
        <v>Yes</v>
      </c>
      <c r="I208" t="s">
        <v>213</v>
      </c>
      <c r="J208" t="str">
        <f t="shared" si="20"/>
        <v>No</v>
      </c>
      <c r="K208" t="s">
        <v>214</v>
      </c>
      <c r="L208" t="str">
        <f t="shared" si="21"/>
        <v>No</v>
      </c>
      <c r="M208" t="s">
        <v>215</v>
      </c>
      <c r="N208" t="str">
        <f t="shared" si="22"/>
        <v>""</v>
      </c>
      <c r="O208" t="s">
        <v>216</v>
      </c>
      <c r="P208" t="str">
        <f t="shared" si="23"/>
        <v>"Bermuda": { greenCard: "Yes", schengen: "No", chinesePassport: "No", notes: ""},</v>
      </c>
    </row>
    <row r="209" spans="1:16" ht="15" x14ac:dyDescent="0.2">
      <c r="A209" s="1" t="s">
        <v>206</v>
      </c>
      <c r="D209" s="4">
        <v>1</v>
      </c>
      <c r="F209" t="str">
        <f t="shared" si="18"/>
        <v xml:space="preserve">"Turks and Caicos": { </v>
      </c>
      <c r="G209" t="s">
        <v>212</v>
      </c>
      <c r="H209" t="str">
        <f t="shared" si="19"/>
        <v>Yes</v>
      </c>
      <c r="I209" t="s">
        <v>213</v>
      </c>
      <c r="J209" t="str">
        <f t="shared" si="20"/>
        <v>No</v>
      </c>
      <c r="K209" t="s">
        <v>214</v>
      </c>
      <c r="L209" t="str">
        <f t="shared" si="21"/>
        <v>No</v>
      </c>
      <c r="M209" t="s">
        <v>215</v>
      </c>
      <c r="N209" t="str">
        <f t="shared" si="22"/>
        <v>""</v>
      </c>
      <c r="O209" t="s">
        <v>216</v>
      </c>
      <c r="P209" t="str">
        <f t="shared" si="23"/>
        <v>"Turks and Caicos": { greenCard: "Yes", schengen: "No", chinesePassport: "No", notes: ""},</v>
      </c>
    </row>
    <row r="210" spans="1:16" ht="15" x14ac:dyDescent="0.2">
      <c r="A210" s="1" t="s">
        <v>208</v>
      </c>
      <c r="E210" s="5">
        <v>1</v>
      </c>
      <c r="F210" t="str">
        <f t="shared" si="18"/>
        <v xml:space="preserve">"Tuvalu": { </v>
      </c>
      <c r="G210" t="s">
        <v>212</v>
      </c>
      <c r="H210" t="str">
        <f t="shared" si="19"/>
        <v>No</v>
      </c>
      <c r="I210" t="s">
        <v>213</v>
      </c>
      <c r="J210" t="str">
        <f t="shared" si="20"/>
        <v>No</v>
      </c>
      <c r="K210" t="s">
        <v>214</v>
      </c>
      <c r="L210" t="str">
        <f t="shared" si="21"/>
        <v>Yes</v>
      </c>
      <c r="M210" t="s">
        <v>215</v>
      </c>
      <c r="N210" t="str">
        <f t="shared" si="22"/>
        <v>"Visa on Arrival"</v>
      </c>
      <c r="O210" t="s">
        <v>216</v>
      </c>
      <c r="P210" t="str">
        <f t="shared" si="23"/>
        <v>"Tuvalu": { greenCard: "No", schengen: "No", chinesePassport: "Yes", notes: "Visa on Arrival"},</v>
      </c>
    </row>
    <row r="211" spans="1:16" ht="15" x14ac:dyDescent="0.2">
      <c r="A211" s="1" t="s">
        <v>209</v>
      </c>
      <c r="E211" s="5">
        <v>1</v>
      </c>
      <c r="F211" t="str">
        <f t="shared" si="18"/>
        <v xml:space="preserve">"Palau": { </v>
      </c>
      <c r="G211" t="s">
        <v>212</v>
      </c>
      <c r="H211" t="str">
        <f t="shared" si="19"/>
        <v>No</v>
      </c>
      <c r="I211" t="s">
        <v>213</v>
      </c>
      <c r="J211" t="str">
        <f t="shared" si="20"/>
        <v>No</v>
      </c>
      <c r="K211" t="s">
        <v>214</v>
      </c>
      <c r="L211" t="str">
        <f t="shared" si="21"/>
        <v>Yes</v>
      </c>
      <c r="M211" t="s">
        <v>215</v>
      </c>
      <c r="N211" t="str">
        <f t="shared" si="22"/>
        <v>"Visa on Arrival"</v>
      </c>
      <c r="O211" t="s">
        <v>216</v>
      </c>
      <c r="P211" t="str">
        <f t="shared" si="23"/>
        <v>"Palau": { greenCard: "No", schengen: "No", chinesePassport: "Yes", notes: "Visa on Arrival"},</v>
      </c>
    </row>
    <row r="212" spans="1:16" ht="15" x14ac:dyDescent="0.2">
      <c r="A212" s="1" t="s">
        <v>210</v>
      </c>
      <c r="E212" s="5">
        <v>1</v>
      </c>
      <c r="F212" t="str">
        <f t="shared" si="18"/>
        <v xml:space="preserve">"Solomon Islands": { </v>
      </c>
      <c r="G212" t="s">
        <v>212</v>
      </c>
      <c r="H212" t="str">
        <f t="shared" si="19"/>
        <v>No</v>
      </c>
      <c r="I212" t="s">
        <v>213</v>
      </c>
      <c r="J212" t="str">
        <f t="shared" si="20"/>
        <v>No</v>
      </c>
      <c r="K212" t="s">
        <v>214</v>
      </c>
      <c r="L212" t="str">
        <f t="shared" si="21"/>
        <v>Yes</v>
      </c>
      <c r="M212" t="s">
        <v>215</v>
      </c>
      <c r="N212" t="str">
        <f t="shared" si="22"/>
        <v>"Visa on Arrival"</v>
      </c>
      <c r="O212" t="s">
        <v>216</v>
      </c>
      <c r="P212" t="str">
        <f t="shared" si="23"/>
        <v>"Solomon Islands": { greenCard: "No", schengen: "No", chinesePassport: "Yes", notes: "Visa on Arrival"},</v>
      </c>
    </row>
    <row r="213" spans="1:16" ht="15" x14ac:dyDescent="0.2">
      <c r="A213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0E21-BCBC-494B-8126-0EE95A0BFB83}">
  <dimension ref="A1"/>
  <sheetViews>
    <sheetView zoomScaleNormal="100"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A744-E1B2-4F78-AD45-3220ACA85B67}">
  <dimension ref="A1"/>
  <sheetViews>
    <sheetView zoomScaleNormal="100"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 Qiwen</dc:creator>
  <cp:lastModifiedBy>Luo, Qiwen</cp:lastModifiedBy>
  <dcterms:created xsi:type="dcterms:W3CDTF">2025-08-08T18:07:17Z</dcterms:created>
  <dcterms:modified xsi:type="dcterms:W3CDTF">2025-08-08T19:49:19Z</dcterms:modified>
</cp:coreProperties>
</file>